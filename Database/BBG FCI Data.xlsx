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ocuments\GitHub\ICF\Database\"/>
    </mc:Choice>
  </mc:AlternateContent>
  <xr:revisionPtr revIDLastSave="0" documentId="13_ncr:1_{0D4D6917-6D86-462A-AC80-BE0DF7F4C25A}" xr6:coauthVersionLast="47" xr6:coauthVersionMax="47" xr10:uidLastSave="{00000000-0000-0000-0000-000000000000}"/>
  <bookViews>
    <workbookView xWindow="-28920" yWindow="-120" windowWidth="29040" windowHeight="15720" activeTab="1" xr2:uid="{D4C5CD99-ED57-4B76-84B6-86F53E6B3EEC}"/>
  </bookViews>
  <sheets>
    <sheet name="Mensal_BBG" sheetId="1" r:id="rId1"/>
    <sheet name="Dados" sheetId="3" r:id="rId2"/>
  </sheets>
  <definedNames>
    <definedName name="SpreadsheetBuilder_1" hidden="1">Mensal_BBG!$A$1:$E$6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 a="1"/>
  <c r="C2" i="3" s="1"/>
  <c r="D2" i="3" a="1"/>
  <c r="D2" i="3" s="1"/>
  <c r="A3" i="3" a="1"/>
  <c r="A3" i="3" s="1"/>
  <c r="D6" i="1" a="1"/>
  <c r="D6" i="1" s="1"/>
  <c r="E6" i="1" a="1"/>
  <c r="E6" i="1" s="1"/>
  <c r="F6" i="1" a="1"/>
  <c r="F6" i="1" s="1"/>
  <c r="G6" i="1" a="1"/>
  <c r="G6" i="1" s="1"/>
  <c r="H6" i="1" a="1"/>
  <c r="H6" i="1" s="1"/>
  <c r="I6" i="1" a="1"/>
  <c r="I6" i="1" s="1"/>
  <c r="J6" i="1" a="1"/>
  <c r="J6" i="1" s="1"/>
  <c r="K6" i="1" a="1"/>
  <c r="K6" i="1" s="1"/>
  <c r="L6" i="1" a="1"/>
  <c r="L6" i="1" s="1"/>
  <c r="M6" i="1" a="1"/>
  <c r="M6" i="1" s="1"/>
  <c r="N6" i="1" a="1"/>
  <c r="N6" i="1" s="1"/>
  <c r="O6" i="1" a="1"/>
  <c r="O6" i="1" s="1"/>
  <c r="P6" i="1" a="1"/>
  <c r="P6" i="1" s="1"/>
  <c r="Q6" i="1" a="1"/>
  <c r="Q6" i="1" s="1"/>
  <c r="R6" i="1" a="1"/>
  <c r="R6" i="1" s="1"/>
  <c r="S6" i="1" a="1"/>
  <c r="S6" i="1" s="1"/>
  <c r="T6" i="1" a="1"/>
  <c r="T6" i="1" s="1"/>
  <c r="U6" i="1" a="1"/>
  <c r="U6" i="1" s="1"/>
  <c r="V6" i="1" a="1"/>
  <c r="V6" i="1" s="1"/>
  <c r="W6" i="1" a="1"/>
  <c r="W6" i="1" s="1"/>
  <c r="X6" i="1" a="1"/>
  <c r="X6" i="1" s="1"/>
  <c r="Y6" i="1" a="1"/>
  <c r="Y6" i="1" s="1"/>
  <c r="Z6" i="1" a="1"/>
  <c r="Z6" i="1" s="1"/>
  <c r="AA6" i="1" a="1"/>
  <c r="AA6" i="1" s="1"/>
  <c r="AB6" i="1" a="1"/>
  <c r="AB6" i="1" s="1"/>
  <c r="AC6" i="1" a="1"/>
  <c r="AC6" i="1" s="1"/>
  <c r="AD6" i="1" a="1"/>
  <c r="AD6" i="1" s="1"/>
  <c r="AE6" i="1" a="1"/>
  <c r="AE6" i="1" s="1"/>
  <c r="AF6" i="1" a="1"/>
  <c r="AF6" i="1" s="1"/>
  <c r="AG6" i="1" a="1"/>
  <c r="AG6" i="1" s="1"/>
  <c r="AH6" i="1" a="1"/>
  <c r="AH6" i="1" s="1"/>
  <c r="AI6" i="1" a="1"/>
  <c r="AI6" i="1" s="1"/>
  <c r="AJ6" i="1" a="1"/>
  <c r="AJ6" i="1" s="1"/>
  <c r="AK6" i="1" a="1"/>
  <c r="AK6" i="1" s="1"/>
  <c r="AL6" i="1" a="1"/>
  <c r="AL6" i="1" s="1"/>
  <c r="C6" i="1" a="1"/>
  <c r="C6" i="1" s="1"/>
  <c r="A6" i="1" a="1"/>
  <c r="A6" i="1" s="1"/>
  <c r="A14" i="3" a="1"/>
  <c r="A14" i="3" s="1"/>
  <c r="A15" i="3" a="1"/>
  <c r="A15" i="3" s="1"/>
  <c r="A16" i="3" a="1"/>
  <c r="A16" i="3" s="1"/>
  <c r="A17" i="3" a="1"/>
  <c r="A17" i="3" s="1"/>
  <c r="A18" i="3" a="1"/>
  <c r="A18" i="3" s="1"/>
  <c r="A19" i="3" a="1"/>
  <c r="A19" i="3" s="1"/>
  <c r="A20" i="3" a="1"/>
  <c r="A20" i="3" s="1"/>
  <c r="A21" i="3" a="1"/>
  <c r="A21" i="3" s="1"/>
  <c r="A22" i="3" a="1"/>
  <c r="A22" i="3" s="1"/>
  <c r="A23" i="3" a="1"/>
  <c r="A23" i="3" s="1"/>
  <c r="A24" i="3" a="1"/>
  <c r="A24" i="3" s="1"/>
  <c r="A25" i="3" a="1"/>
  <c r="A25" i="3" s="1"/>
  <c r="A26" i="3" a="1"/>
  <c r="A26" i="3" s="1"/>
  <c r="A27" i="3" a="1"/>
  <c r="A27" i="3" s="1"/>
  <c r="A28" i="3" a="1"/>
  <c r="A28" i="3" s="1"/>
  <c r="A29" i="3" a="1"/>
  <c r="A29" i="3" s="1"/>
  <c r="A30" i="3" a="1"/>
  <c r="A30" i="3" s="1"/>
  <c r="A31" i="3" a="1"/>
  <c r="A31" i="3" s="1"/>
  <c r="A32" i="3" a="1"/>
  <c r="A32" i="3" s="1"/>
  <c r="A33" i="3" a="1"/>
  <c r="A33" i="3" s="1"/>
  <c r="A34" i="3" a="1"/>
  <c r="A34" i="3" s="1"/>
  <c r="A35" i="3" a="1"/>
  <c r="A35" i="3" s="1"/>
  <c r="A36" i="3" a="1"/>
  <c r="A36" i="3" s="1"/>
  <c r="A37" i="3" a="1"/>
  <c r="A37" i="3" s="1"/>
  <c r="A38" i="3" a="1"/>
  <c r="A38" i="3" s="1"/>
  <c r="A39" i="3" a="1"/>
  <c r="A39" i="3" s="1"/>
  <c r="A40" i="3" a="1"/>
  <c r="A40" i="3" s="1"/>
  <c r="A13" i="3" a="1"/>
  <c r="A13" i="3" s="1"/>
  <c r="A12" i="3" a="1"/>
  <c r="A12" i="3" s="1"/>
  <c r="A11" i="3" a="1"/>
  <c r="A11" i="3" s="1"/>
  <c r="A10" i="3" a="1"/>
  <c r="A10" i="3" s="1"/>
  <c r="A9" i="3" a="1"/>
  <c r="A9" i="3" s="1"/>
  <c r="A8" i="3" a="1"/>
  <c r="A8" i="3" s="1"/>
  <c r="A7" i="3" a="1"/>
  <c r="A7" i="3" s="1"/>
  <c r="A6" i="3" a="1"/>
  <c r="A6" i="3" s="1"/>
  <c r="A5" i="3" a="1"/>
  <c r="A5" i="3" s="1"/>
  <c r="A4" i="3" a="1"/>
  <c r="A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<sst xmlns="http://schemas.openxmlformats.org/spreadsheetml/2006/main" count="197" uniqueCount="93">
  <si>
    <t>Data inicial</t>
  </si>
  <si>
    <t>Data final</t>
  </si>
  <si>
    <t>BRL SWAP PRE-DI (252)</t>
  </si>
  <si>
    <t>BRL SWAP PRE-DI (1512)</t>
  </si>
  <si>
    <t>IBCBR</t>
  </si>
  <si>
    <t>BRL SWAP PRE-DI (5Y)</t>
  </si>
  <si>
    <t>BRL SWAP PRE-DI (2Y)</t>
  </si>
  <si>
    <t>BRL SWAP PRE-DI (1Y)</t>
  </si>
  <si>
    <t>EURUSD Taxa de câmbio spot - Preço de 1 EUR em USD</t>
  </si>
  <si>
    <t>USDJPY Taxa de câmbio spot - Preço de 1 USD em JPY</t>
  </si>
  <si>
    <t>GBPUSD Taxa de câmbio spot - Preço de 1 GBP em USD</t>
  </si>
  <si>
    <t>USDCAD Taxa de câmbio spot - Preço de 1 USD em CAD</t>
  </si>
  <si>
    <t>USDSEK Taxa de câmbio spot - Preço de 1 USD em SEK</t>
  </si>
  <si>
    <t>USDCHF Taxa de câmbio spot - Preço de 1 USD em CHF</t>
  </si>
  <si>
    <t>USGG3M Index</t>
  </si>
  <si>
    <t>GTGBP3MO Corp</t>
  </si>
  <si>
    <t>GTDEM3M Govt</t>
  </si>
  <si>
    <t>GTJPY3MO Corp</t>
  </si>
  <si>
    <t>USGG2YR Index</t>
  </si>
  <si>
    <t>GTGBP2YR Corp</t>
  </si>
  <si>
    <t>GTDEM2Y Govt</t>
  </si>
  <si>
    <t>GTJPY2YR Corp</t>
  </si>
  <si>
    <t>USGG10YR Index</t>
  </si>
  <si>
    <t>GTGBP10YR Corp</t>
  </si>
  <si>
    <t>GTDEM10YR Corp</t>
  </si>
  <si>
    <t>GTJPY10YR Corp</t>
  </si>
  <si>
    <t>VIX Index</t>
  </si>
  <si>
    <t>BRAZIL CDS USD SR 5Y D14 Corp</t>
  </si>
  <si>
    <t>DXY Curncy</t>
  </si>
  <si>
    <t>USTWEME Index</t>
  </si>
  <si>
    <t>BRL REGN Curncy</t>
  </si>
  <si>
    <t>CL1 COMB Comdty</t>
  </si>
  <si>
    <t>CO1 Comdty</t>
  </si>
  <si>
    <t>CRB FOOD Index</t>
  </si>
  <si>
    <t>CRB METL Index</t>
  </si>
  <si>
    <t>MXWO Index</t>
  </si>
  <si>
    <t>MXEF Index</t>
  </si>
  <si>
    <t>IBOV Index</t>
  </si>
  <si>
    <t>BCSFLPDV Curncy</t>
  </si>
  <si>
    <t>BCSFTPDV CMPN Curncy</t>
  </si>
  <si>
    <t>BZEASA Index</t>
  </si>
  <si>
    <t>BCSWNPD BGN Curncy</t>
  </si>
  <si>
    <t>BCSWKPD BGN Curncy</t>
  </si>
  <si>
    <t>BCSWFPD BGN Curncy</t>
  </si>
  <si>
    <t>BCSFLPDV BLP Curncy</t>
  </si>
  <si>
    <t>EUR BGN Curncy</t>
  </si>
  <si>
    <t>JPY BGN Curncy</t>
  </si>
  <si>
    <t>GBP BGN Curncy</t>
  </si>
  <si>
    <t>CAD BGN Curncy</t>
  </si>
  <si>
    <t>SEK BGN Curncy</t>
  </si>
  <si>
    <t>CHF BGN Curncy</t>
  </si>
  <si>
    <t>Dates</t>
  </si>
  <si>
    <t>PX_LAST</t>
  </si>
  <si>
    <t>Taxa de juros EUA 3 meses</t>
  </si>
  <si>
    <t>Taxa de juros Reino Unido 3 meses</t>
  </si>
  <si>
    <t>Taxa de juros Alemanha 3 meses</t>
  </si>
  <si>
    <t>Taxa de juros Japao 3 meses</t>
  </si>
  <si>
    <t>Taxa de juros EUA 2 anos</t>
  </si>
  <si>
    <t>Taxa de juros Reino Unido 2 anos</t>
  </si>
  <si>
    <t>Taxa de juros Alemanha 2 anos</t>
  </si>
  <si>
    <t>Taxa de juros Japao 2 anos</t>
  </si>
  <si>
    <t>Taxa de juros EUA 10 anos</t>
  </si>
  <si>
    <t>Taxa de juros Reino Unido 10 anos</t>
  </si>
  <si>
    <t>Taxa de juros Alemanha 10 anos</t>
  </si>
  <si>
    <t>Taxa de juros Japao 10 anos</t>
  </si>
  <si>
    <t>VIX</t>
  </si>
  <si>
    <t>CDS 5 anos</t>
  </si>
  <si>
    <t>US Dollar index (DXY) (desenvolvido)</t>
  </si>
  <si>
    <t>US Dollar index (DXY) (Emergentes)</t>
  </si>
  <si>
    <t>cambio BRL/USD</t>
  </si>
  <si>
    <t>WTI</t>
  </si>
  <si>
    <t>Brent</t>
  </si>
  <si>
    <t>Iindice de commodities CRB (foodstuffs)</t>
  </si>
  <si>
    <t>Iindice de commodities CRB (metals)</t>
  </si>
  <si>
    <t>Indices de Acoes MSCI Desenvolvidos</t>
  </si>
  <si>
    <t>Indices de Acoes MSCI Emergentes</t>
  </si>
  <si>
    <t>Ibovespa</t>
  </si>
  <si>
    <t>Bloomberg</t>
  </si>
  <si>
    <t>Fonte</t>
  </si>
  <si>
    <t>Grupo_Desc</t>
  </si>
  <si>
    <t>Grupo_Id</t>
  </si>
  <si>
    <t>Juros Brazil</t>
  </si>
  <si>
    <t>Mercado de capitais</t>
  </si>
  <si>
    <t>Commoditires</t>
  </si>
  <si>
    <t>Petroleo</t>
  </si>
  <si>
    <t>Moedas</t>
  </si>
  <si>
    <t>Risco</t>
  </si>
  <si>
    <t>Juros exterior</t>
  </si>
  <si>
    <t>Produto</t>
  </si>
  <si>
    <t>Date</t>
  </si>
  <si>
    <t>Period (M=Month/D=Daily)</t>
  </si>
  <si>
    <t>M</t>
  </si>
  <si>
    <t>Data de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</si>
</sst>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textRotation="45"/>
    </xf>
    <xf numFmtId="0" fontId="0" fillId="0" borderId="0" xfId="0" applyAlignment="1">
      <alignment wrapText="1"/>
    </xf>
    <xf numFmtId="0" fontId="0" fillId="0" borderId="0" xfId="0" applyAlignment="1">
      <alignment textRotation="45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1220-26A9-4625-8A7A-5EE3C8BA76EC}">
  <dimension ref="A1:AM273"/>
  <sheetViews>
    <sheetView workbookViewId="0">
      <selection activeCell="B4" sqref="B4"/>
    </sheetView>
  </sheetViews>
  <sheetFormatPr defaultRowHeight="15" x14ac:dyDescent="0.25"/>
  <cols>
    <col min="1" max="1" width="15" bestFit="1" customWidth="1"/>
    <col min="2" max="2" width="22.5703125" bestFit="1" customWidth="1"/>
    <col min="3" max="3" width="25" bestFit="1" customWidth="1"/>
    <col min="4" max="4" width="23.7109375" bestFit="1" customWidth="1"/>
    <col min="5" max="5" width="22.5703125" bestFit="1" customWidth="1"/>
    <col min="6" max="6" width="18.5703125" bestFit="1" customWidth="1"/>
    <col min="7" max="7" width="23.85546875" bestFit="1" customWidth="1"/>
    <col min="8" max="8" width="22.5703125" bestFit="1" customWidth="1"/>
    <col min="9" max="9" width="19.5703125" bestFit="1" customWidth="1"/>
    <col min="10" max="10" width="19.28515625" bestFit="1" customWidth="1"/>
    <col min="11" max="11" width="24.5703125" bestFit="1" customWidth="1"/>
    <col min="12" max="12" width="23.28515625" bestFit="1" customWidth="1"/>
    <col min="13" max="13" width="20.28515625" bestFit="1" customWidth="1"/>
    <col min="14" max="14" width="9" bestFit="1" customWidth="1"/>
    <col min="15" max="15" width="22.5703125" bestFit="1" customWidth="1"/>
    <col min="16" max="16" width="26.5703125" bestFit="1" customWidth="1"/>
    <col min="17" max="17" width="25.5703125" bestFit="1" customWidth="1"/>
    <col min="18" max="18" width="13.7109375" bestFit="1" customWidth="1"/>
    <col min="19" max="19" width="14.5703125" bestFit="1" customWidth="1"/>
    <col min="20" max="20" width="10.7109375" bestFit="1" customWidth="1"/>
    <col min="21" max="21" width="28.7109375" bestFit="1" customWidth="1"/>
    <col min="22" max="22" width="26.5703125" bestFit="1" customWidth="1"/>
    <col min="23" max="23" width="26.85546875" bestFit="1" customWidth="1"/>
    <col min="24" max="24" width="25" bestFit="1" customWidth="1"/>
    <col min="25" max="25" width="10" bestFit="1" customWidth="1"/>
    <col min="26" max="26" width="17.42578125" bestFit="1" customWidth="1"/>
    <col min="27" max="27" width="18.42578125" bestFit="1" customWidth="1"/>
    <col min="28" max="28" width="11.5703125" bestFit="1" customWidth="1"/>
    <col min="29" max="29" width="17.28515625" bestFit="1" customWidth="1"/>
    <col min="30" max="31" width="16.85546875" bestFit="1" customWidth="1"/>
    <col min="32" max="32" width="16.42578125" bestFit="1" customWidth="1"/>
    <col min="33" max="38" width="23.42578125" customWidth="1"/>
  </cols>
  <sheetData>
    <row r="1" spans="1:39" x14ac:dyDescent="0.25">
      <c r="A1" t="s">
        <v>0</v>
      </c>
      <c r="B1" s="1">
        <v>37753</v>
      </c>
      <c r="D1" t="s">
        <v>90</v>
      </c>
      <c r="E1" t="s">
        <v>91</v>
      </c>
    </row>
    <row r="2" spans="1:39" x14ac:dyDescent="0.25">
      <c r="A2" t="s">
        <v>1</v>
      </c>
    </row>
    <row r="3" spans="1:39" ht="114" customHeight="1" x14ac:dyDescent="0.25">
      <c r="A3" s="5" t="s">
        <v>92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  <c r="H3" s="5" t="s">
        <v>59</v>
      </c>
      <c r="I3" s="5" t="s">
        <v>60</v>
      </c>
      <c r="J3" s="5" t="s">
        <v>61</v>
      </c>
      <c r="K3" s="5" t="s">
        <v>62</v>
      </c>
      <c r="L3" s="5" t="s">
        <v>63</v>
      </c>
      <c r="M3" s="5" t="s">
        <v>64</v>
      </c>
      <c r="N3" s="5" t="s">
        <v>65</v>
      </c>
      <c r="O3" s="5" t="s">
        <v>66</v>
      </c>
      <c r="P3" s="5" t="s">
        <v>67</v>
      </c>
      <c r="Q3" s="5" t="s">
        <v>68</v>
      </c>
      <c r="R3" s="5" t="s">
        <v>69</v>
      </c>
      <c r="S3" s="5" t="s">
        <v>70</v>
      </c>
      <c r="T3" s="5" t="s">
        <v>71</v>
      </c>
      <c r="U3" s="5" t="s">
        <v>72</v>
      </c>
      <c r="V3" s="5" t="s">
        <v>73</v>
      </c>
      <c r="W3" s="5" t="s">
        <v>74</v>
      </c>
      <c r="X3" s="5" t="s">
        <v>75</v>
      </c>
      <c r="Y3" s="5" t="s">
        <v>76</v>
      </c>
      <c r="Z3" s="5" t="s">
        <v>2</v>
      </c>
      <c r="AA3" s="5" t="s">
        <v>3</v>
      </c>
      <c r="AB3" s="5" t="s">
        <v>4</v>
      </c>
      <c r="AC3" s="5" t="s">
        <v>5</v>
      </c>
      <c r="AD3" s="5" t="s">
        <v>6</v>
      </c>
      <c r="AE3" s="5" t="s">
        <v>7</v>
      </c>
      <c r="AF3" s="4"/>
      <c r="AG3" s="5" t="s">
        <v>8</v>
      </c>
      <c r="AH3" s="5" t="s">
        <v>9</v>
      </c>
      <c r="AI3" s="5" t="s">
        <v>10</v>
      </c>
      <c r="AJ3" s="5" t="s">
        <v>11</v>
      </c>
      <c r="AK3" s="5" t="s">
        <v>12</v>
      </c>
      <c r="AL3" s="5" t="s">
        <v>13</v>
      </c>
      <c r="AM3" s="5"/>
    </row>
    <row r="4" spans="1:39" ht="113.25" x14ac:dyDescent="0.25">
      <c r="A4" s="3" t="s">
        <v>89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26</v>
      </c>
      <c r="O4" s="3" t="s">
        <v>27</v>
      </c>
      <c r="P4" s="3" t="s">
        <v>28</v>
      </c>
      <c r="Q4" s="3" t="s">
        <v>29</v>
      </c>
      <c r="R4" s="3" t="s">
        <v>30</v>
      </c>
      <c r="S4" s="3" t="s">
        <v>31</v>
      </c>
      <c r="T4" s="3" t="s">
        <v>32</v>
      </c>
      <c r="U4" s="3" t="s">
        <v>33</v>
      </c>
      <c r="V4" s="3" t="s">
        <v>34</v>
      </c>
      <c r="W4" s="3" t="s">
        <v>35</v>
      </c>
      <c r="X4" s="3" t="s">
        <v>36</v>
      </c>
      <c r="Y4" s="3" t="s">
        <v>37</v>
      </c>
      <c r="Z4" s="3" t="s">
        <v>38</v>
      </c>
      <c r="AA4" s="3" t="s">
        <v>39</v>
      </c>
      <c r="AB4" s="3" t="s">
        <v>40</v>
      </c>
      <c r="AC4" s="3" t="s">
        <v>41</v>
      </c>
      <c r="AD4" s="3" t="s">
        <v>42</v>
      </c>
      <c r="AE4" s="3" t="s">
        <v>43</v>
      </c>
      <c r="AF4" s="3" t="s">
        <v>44</v>
      </c>
      <c r="AG4" s="3" t="s">
        <v>45</v>
      </c>
      <c r="AH4" s="3" t="s">
        <v>46</v>
      </c>
      <c r="AI4" s="3" t="s">
        <v>47</v>
      </c>
      <c r="AJ4" s="3" t="s">
        <v>48</v>
      </c>
      <c r="AK4" s="3" t="s">
        <v>49</v>
      </c>
      <c r="AL4" s="3" t="s">
        <v>50</v>
      </c>
      <c r="AM4" s="3"/>
    </row>
    <row r="5" spans="1:39" x14ac:dyDescent="0.25">
      <c r="A5" t="s">
        <v>51</v>
      </c>
      <c r="B5" t="s">
        <v>52</v>
      </c>
      <c r="C5" t="s">
        <v>52</v>
      </c>
      <c r="D5" t="s">
        <v>52</v>
      </c>
      <c r="E5" t="s">
        <v>52</v>
      </c>
      <c r="F5" t="s">
        <v>52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52</v>
      </c>
      <c r="M5" t="s">
        <v>52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</row>
    <row r="6" spans="1:39" x14ac:dyDescent="0.25">
      <c r="A6" s="1" t="e" cm="1">
        <f t="array" aca="1" ref="A6" ca="1">BDH(B$4,B$5,$B1,$B2,"Dir=V","Per="&amp;$E$1,"Days=A","Dts=S")</f>
        <v>#NAME?</v>
      </c>
      <c r="C6" t="e" cm="1">
        <f t="array" aca="1" ref="C6" ca="1">BDH(C$4,C$5,$B1,$B2,"Dir=V","Per="&amp;$E$1,"Days=A","Dts=H")</f>
        <v>#NAME?</v>
      </c>
      <c r="D6" t="e" cm="1">
        <f t="array" aca="1" ref="D6" ca="1">BDH(D$4,D$5,$B1,$B2,"Dir=V","Per="&amp;$E$1,"Days=A","Dts=H")</f>
        <v>#NAME?</v>
      </c>
      <c r="E6" t="e" cm="1">
        <f t="array" aca="1" ref="E6" ca="1">BDH(E$4,E$5,$B1,$B2,"Dir=V","Per="&amp;$E$1,"Days=A","Dts=H")</f>
        <v>#NAME?</v>
      </c>
      <c r="F6" t="e" cm="1">
        <f t="array" aca="1" ref="F6" ca="1">BDH(F$4,F$5,$B1,$B2,"Dir=V","Per="&amp;$E$1,"Days=A","Dts=H")</f>
        <v>#NAME?</v>
      </c>
      <c r="G6" t="e" cm="1">
        <f t="array" aca="1" ref="G6" ca="1">BDH(G$4,G$5,$B1,$B2,"Dir=V","Per="&amp;$E$1,"Days=A","Dts=H")</f>
        <v>#NAME?</v>
      </c>
      <c r="H6" t="e" cm="1">
        <f t="array" aca="1" ref="H6" ca="1">BDH(H$4,H$5,$B1,$B2,"Dir=V","Per="&amp;$E$1,"Days=A","Dts=H")</f>
        <v>#NAME?</v>
      </c>
      <c r="I6" t="e" cm="1">
        <f t="array" aca="1" ref="I6" ca="1">BDH(I$4,I$5,$B1,$B2,"Dir=V","Per="&amp;$E$1,"Days=A","Dts=H")</f>
        <v>#NAME?</v>
      </c>
      <c r="J6" t="e" cm="1">
        <f t="array" aca="1" ref="J6" ca="1">BDH(J$4,J$5,$B1,$B2,"Dir=V","Per="&amp;$E$1,"Days=A","Dts=H")</f>
        <v>#NAME?</v>
      </c>
      <c r="K6" t="e" cm="1">
        <f t="array" aca="1" ref="K6" ca="1">BDH(K$4,K$5,$B1,$B2,"Dir=V","Per="&amp;$E$1,"Days=A","Dts=H")</f>
        <v>#NAME?</v>
      </c>
      <c r="L6" t="e" cm="1">
        <f t="array" aca="1" ref="L6" ca="1">BDH(L$4,L$5,$B1,$B2,"Dir=V","Per="&amp;$E$1,"Days=A","Dts=H")</f>
        <v>#NAME?</v>
      </c>
      <c r="M6" t="e" cm="1">
        <f t="array" aca="1" ref="M6" ca="1">BDH(M$4,M$5,$B1,$B2,"Dir=V","Per="&amp;$E$1,"Days=A","Dts=H")</f>
        <v>#NAME?</v>
      </c>
      <c r="N6" t="e" cm="1">
        <f t="array" aca="1" ref="N6" ca="1">BDH(N$4,N$5,$B1,$B2,"Dir=V","Per="&amp;$E$1,"Days=A","Dts=H")</f>
        <v>#NAME?</v>
      </c>
      <c r="O6" t="e" cm="1">
        <f t="array" aca="1" ref="O6" ca="1">BDH(O$4,O$5,$B1,$B2,"Dir=V","Per="&amp;$E$1,"Days=A","Dts=H")</f>
        <v>#NAME?</v>
      </c>
      <c r="P6" t="e" cm="1">
        <f t="array" aca="1" ref="P6" ca="1">BDH(P$4,P$5,$B1,$B2,"Dir=V","Per="&amp;$E$1,"Days=A","Dts=H")</f>
        <v>#NAME?</v>
      </c>
      <c r="Q6" t="e" cm="1">
        <f t="array" aca="1" ref="Q6" ca="1">BDH(Q$4,Q$5,$B1,$B2,"Dir=V","Per="&amp;$E$1,"Days=A","Dts=H")</f>
        <v>#NAME?</v>
      </c>
      <c r="R6" t="e" cm="1">
        <f t="array" aca="1" ref="R6" ca="1">BDH(R$4,R$5,$B1,$B2,"Dir=V","Per="&amp;$E$1,"Days=A","Dts=H")</f>
        <v>#NAME?</v>
      </c>
      <c r="S6" t="e" cm="1">
        <f t="array" aca="1" ref="S6" ca="1">BDH(S$4,S$5,$B1,$B2,"Dir=V","Per="&amp;$E$1,"Days=A","Dts=H")</f>
        <v>#NAME?</v>
      </c>
      <c r="T6" t="e" cm="1">
        <f t="array" aca="1" ref="T6" ca="1">BDH(T$4,T$5,$B1,$B2,"Dir=V","Per="&amp;$E$1,"Days=A","Dts=H")</f>
        <v>#NAME?</v>
      </c>
      <c r="U6" t="e" cm="1">
        <f t="array" aca="1" ref="U6" ca="1">BDH(U$4,U$5,$B1,$B2,"Dir=V","Per="&amp;$E$1,"Days=A","Dts=H")</f>
        <v>#NAME?</v>
      </c>
      <c r="V6" t="e" cm="1">
        <f t="array" aca="1" ref="V6" ca="1">BDH(V$4,V$5,$B1,$B2,"Dir=V","Per="&amp;$E$1,"Days=A","Dts=H")</f>
        <v>#NAME?</v>
      </c>
      <c r="W6" t="e" cm="1">
        <f t="array" aca="1" ref="W6" ca="1">BDH(W$4,W$5,$B1,$B2,"Dir=V","Per="&amp;$E$1,"Days=A","Dts=H")</f>
        <v>#NAME?</v>
      </c>
      <c r="X6" t="e" cm="1">
        <f t="array" aca="1" ref="X6" ca="1">BDH(X$4,X$5,$B1,$B2,"Dir=V","Per="&amp;$E$1,"Days=A","Dts=H")</f>
        <v>#NAME?</v>
      </c>
      <c r="Y6" t="e" cm="1">
        <f t="array" aca="1" ref="Y6" ca="1">BDH(Y$4,Y$5,$B1,$B2,"Dir=V","Per="&amp;$E$1,"Days=A","Dts=H")</f>
        <v>#NAME?</v>
      </c>
      <c r="Z6" t="e" cm="1">
        <f t="array" aca="1" ref="Z6" ca="1">BDH(Z$4,Z$5,$B1,$B2,"Dir=V","Per="&amp;$E$1,"Days=A","Dts=H")</f>
        <v>#NAME?</v>
      </c>
      <c r="AA6" t="e" cm="1">
        <f t="array" aca="1" ref="AA6" ca="1">BDH(AA$4,AA$5,$B1,$B2,"Dir=V","Per="&amp;$E$1,"Days=A","Dts=H")</f>
        <v>#NAME?</v>
      </c>
      <c r="AB6" t="e" cm="1">
        <f t="array" aca="1" ref="AB6" ca="1">BDH(AB$4,AB$5,$B1,$B2,"Dir=V","Per="&amp;$E$1,"Days=A","Dts=H")</f>
        <v>#NAME?</v>
      </c>
      <c r="AC6" t="e" cm="1">
        <f t="array" aca="1" ref="AC6" ca="1">BDH(AC$4,AC$5,$B1,$B2,"Dir=V","Per="&amp;$E$1,"Days=A","Dts=H")</f>
        <v>#NAME?</v>
      </c>
      <c r="AD6" t="e" cm="1">
        <f t="array" aca="1" ref="AD6" ca="1">BDH(AD$4,AD$5,$B1,$B2,"Dir=V","Per="&amp;$E$1,"Days=A","Dts=H")</f>
        <v>#NAME?</v>
      </c>
      <c r="AE6" t="e" cm="1">
        <f t="array" aca="1" ref="AE6" ca="1">BDH(AE$4,AE$5,$B1,$B2,"Dir=V","Per="&amp;$E$1,"Days=A","Dts=H")</f>
        <v>#NAME?</v>
      </c>
      <c r="AF6" t="e" cm="1">
        <f t="array" aca="1" ref="AF6" ca="1">BDH(AF$4,AF$5,$B1,$B2,"Dir=V","Per="&amp;$E$1,"Days=A","Dts=H")</f>
        <v>#NAME?</v>
      </c>
      <c r="AG6" t="e" cm="1">
        <f t="array" aca="1" ref="AG6" ca="1">BDH(AG$4,AG$5,$B1,$B2,"Dir=V","Per="&amp;$E$1,"Days=A","Dts=H")</f>
        <v>#NAME?</v>
      </c>
      <c r="AH6" t="e" cm="1">
        <f t="array" aca="1" ref="AH6" ca="1">BDH(AH$4,AH$5,$B1,$B2,"Dir=V","Per="&amp;$E$1,"Days=A","Dts=H")</f>
        <v>#NAME?</v>
      </c>
      <c r="AI6" t="e" cm="1">
        <f t="array" aca="1" ref="AI6" ca="1">BDH(AI$4,AI$5,$B1,$B2,"Dir=V","Per="&amp;$E$1,"Days=A","Dts=H")</f>
        <v>#NAME?</v>
      </c>
      <c r="AJ6" t="e" cm="1">
        <f t="array" aca="1" ref="AJ6" ca="1">BDH(AJ$4,AJ$5,$B1,$B2,"Dir=V","Per="&amp;$E$1,"Days=A","Dts=H")</f>
        <v>#NAME?</v>
      </c>
      <c r="AK6" t="e" cm="1">
        <f t="array" aca="1" ref="AK6" ca="1">BDH(AK$4,AK$5,$B1,$B2,"Dir=V","Per="&amp;$E$1,"Days=A","Dts=H")</f>
        <v>#NAME?</v>
      </c>
      <c r="AL6" t="e" cm="1">
        <f t="array" aca="1" ref="AL6" ca="1">BDH(AL$4,AL$5,$B1,$B2,"Dir=V","Per="&amp;$E$1,"Days=A","Dts=H")</f>
        <v>#NAME?</v>
      </c>
    </row>
    <row r="7" spans="1:39" x14ac:dyDescent="0.25">
      <c r="A7" s="1"/>
    </row>
    <row r="8" spans="1:39" x14ac:dyDescent="0.25">
      <c r="A8" s="1"/>
    </row>
    <row r="9" spans="1:39" x14ac:dyDescent="0.25">
      <c r="A9" s="1"/>
    </row>
    <row r="10" spans="1:39" x14ac:dyDescent="0.25">
      <c r="A10" s="1"/>
      <c r="K10" s="2"/>
    </row>
    <row r="11" spans="1:39" x14ac:dyDescent="0.25">
      <c r="A11" s="1"/>
      <c r="K11" s="2"/>
    </row>
    <row r="12" spans="1:39" x14ac:dyDescent="0.25">
      <c r="A12" s="1"/>
      <c r="K12" s="2"/>
    </row>
    <row r="13" spans="1:39" x14ac:dyDescent="0.25">
      <c r="A13" s="1"/>
      <c r="K13" s="2"/>
    </row>
    <row r="14" spans="1:39" x14ac:dyDescent="0.25">
      <c r="A14" s="1"/>
      <c r="K14" s="2"/>
    </row>
    <row r="15" spans="1:39" x14ac:dyDescent="0.25">
      <c r="A15" s="1"/>
      <c r="K15" s="2"/>
    </row>
    <row r="16" spans="1:39" x14ac:dyDescent="0.25">
      <c r="A16" s="1"/>
      <c r="K16" s="2"/>
    </row>
    <row r="17" spans="1:11" x14ac:dyDescent="0.25">
      <c r="A17" s="1"/>
      <c r="K17" s="2"/>
    </row>
    <row r="18" spans="1:11" x14ac:dyDescent="0.25">
      <c r="A18" s="1"/>
      <c r="K18" s="2"/>
    </row>
    <row r="19" spans="1:11" x14ac:dyDescent="0.25">
      <c r="A19" s="1"/>
      <c r="K19" s="2"/>
    </row>
    <row r="20" spans="1:11" x14ac:dyDescent="0.25">
      <c r="A20" s="1"/>
      <c r="K20" s="2"/>
    </row>
    <row r="21" spans="1:11" x14ac:dyDescent="0.25">
      <c r="A21" s="1"/>
      <c r="K21" s="2"/>
    </row>
    <row r="22" spans="1:11" x14ac:dyDescent="0.25">
      <c r="A22" s="1"/>
      <c r="K22" s="2"/>
    </row>
    <row r="23" spans="1:11" x14ac:dyDescent="0.25">
      <c r="A23" s="1"/>
      <c r="K23" s="2"/>
    </row>
    <row r="24" spans="1:11" x14ac:dyDescent="0.25">
      <c r="A24" s="1"/>
      <c r="K24" s="2"/>
    </row>
    <row r="25" spans="1:11" x14ac:dyDescent="0.25">
      <c r="A25" s="1"/>
      <c r="K25" s="2"/>
    </row>
    <row r="26" spans="1:11" x14ac:dyDescent="0.25">
      <c r="A26" s="1"/>
      <c r="K26" s="2"/>
    </row>
    <row r="27" spans="1:11" x14ac:dyDescent="0.25">
      <c r="A27" s="1"/>
      <c r="K27" s="2"/>
    </row>
    <row r="28" spans="1:11" x14ac:dyDescent="0.25">
      <c r="A28" s="1"/>
      <c r="K28" s="2"/>
    </row>
    <row r="29" spans="1:11" x14ac:dyDescent="0.25">
      <c r="A29" s="1"/>
      <c r="K29" s="2"/>
    </row>
    <row r="30" spans="1:11" x14ac:dyDescent="0.25">
      <c r="A30" s="1"/>
      <c r="K30" s="2"/>
    </row>
    <row r="31" spans="1:11" x14ac:dyDescent="0.25">
      <c r="A31" s="1"/>
      <c r="K31" s="2"/>
    </row>
    <row r="32" spans="1:11" x14ac:dyDescent="0.25">
      <c r="A32" s="1"/>
      <c r="K32" s="2"/>
    </row>
    <row r="33" spans="1:11" x14ac:dyDescent="0.25">
      <c r="A33" s="1"/>
      <c r="K33" s="2"/>
    </row>
    <row r="34" spans="1:11" x14ac:dyDescent="0.25">
      <c r="A34" s="1"/>
      <c r="K34" s="2"/>
    </row>
    <row r="35" spans="1:11" x14ac:dyDescent="0.25">
      <c r="A35" s="1"/>
      <c r="K35" s="2"/>
    </row>
    <row r="36" spans="1:11" x14ac:dyDescent="0.25">
      <c r="A36" s="1"/>
    </row>
    <row r="37" spans="1:11" x14ac:dyDescent="0.25">
      <c r="A37" s="1"/>
    </row>
    <row r="38" spans="1:11" x14ac:dyDescent="0.25">
      <c r="A38" s="1"/>
    </row>
    <row r="39" spans="1:11" x14ac:dyDescent="0.25">
      <c r="A39" s="1"/>
    </row>
    <row r="40" spans="1:11" x14ac:dyDescent="0.25">
      <c r="A40" s="1"/>
    </row>
    <row r="41" spans="1:11" x14ac:dyDescent="0.25">
      <c r="A41" s="1"/>
    </row>
    <row r="42" spans="1:11" x14ac:dyDescent="0.25">
      <c r="A42" s="1"/>
    </row>
    <row r="43" spans="1:11" x14ac:dyDescent="0.25">
      <c r="A43" s="1"/>
    </row>
    <row r="44" spans="1:11" x14ac:dyDescent="0.25">
      <c r="A44" s="1"/>
    </row>
    <row r="45" spans="1:11" x14ac:dyDescent="0.25">
      <c r="A45" s="1"/>
    </row>
    <row r="46" spans="1:11" x14ac:dyDescent="0.25">
      <c r="A46" s="1"/>
    </row>
    <row r="47" spans="1:11" x14ac:dyDescent="0.25">
      <c r="A47" s="1"/>
    </row>
    <row r="48" spans="1:1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3273-E763-4E7A-BBFD-6B2BA70245DE}">
  <dimension ref="A1:E40"/>
  <sheetViews>
    <sheetView tabSelected="1" zoomScaleNormal="100" workbookViewId="0">
      <pane xSplit="2" ySplit="1" topLeftCell="C10" activePane="bottomRight" state="frozen"/>
      <selection pane="topRight" activeCell="C1" sqref="C1"/>
      <selection pane="bottomLeft" activeCell="A2" sqref="A2"/>
      <selection pane="bottomRight" activeCell="B29" sqref="B29"/>
    </sheetView>
  </sheetViews>
  <sheetFormatPr defaultRowHeight="15" x14ac:dyDescent="0.25"/>
  <cols>
    <col min="1" max="2" width="20.28515625" customWidth="1"/>
    <col min="3" max="4" width="50" customWidth="1"/>
    <col min="5" max="5" width="12" customWidth="1"/>
    <col min="6" max="6" width="37.42578125" bestFit="1" customWidth="1"/>
  </cols>
  <sheetData>
    <row r="1" spans="1:5" x14ac:dyDescent="0.25">
      <c r="A1" s="6" t="s">
        <v>80</v>
      </c>
      <c r="B1" s="6" t="s">
        <v>79</v>
      </c>
      <c r="C1" s="6"/>
      <c r="D1" s="6" t="s">
        <v>77</v>
      </c>
      <c r="E1" s="6" t="s">
        <v>78</v>
      </c>
    </row>
    <row r="2" spans="1:5" x14ac:dyDescent="0.25">
      <c r="A2" s="7">
        <v>0</v>
      </c>
      <c r="B2" s="7"/>
      <c r="C2" t="str" cm="1">
        <f t="array" ref="C2:C39">TRANSPOSE(_xlfn._TRO_TRAILING(Mensal_BBG!3:3))</f>
        <v>Data de Referencia</v>
      </c>
      <c r="D2" t="str" cm="1">
        <f t="array" ref="D2:D39">TRANSPOSE(_xlfn._TRO_TRAILING(Mensal_BBG!4:4))</f>
        <v>Date</v>
      </c>
      <c r="E2" t="s">
        <v>77</v>
      </c>
    </row>
    <row r="3" spans="1:5" x14ac:dyDescent="0.25">
      <c r="A3" s="7" cm="1">
        <f t="array" ref="A3">_xlfn.XLOOKUP(B3,_xlfn.UNIQUE($B$2:$B$39),_xlfn.SEQUENCE(ROWS(_xlfn.UNIQUE($B$2:$B$39)),1,1))</f>
        <v>2</v>
      </c>
      <c r="B3" s="7" t="s">
        <v>87</v>
      </c>
      <c r="C3" t="str">
        <v>Taxa de juros EUA 3 meses</v>
      </c>
      <c r="D3" t="str">
        <v>USGG3M Index</v>
      </c>
      <c r="E3" t="s">
        <v>77</v>
      </c>
    </row>
    <row r="4" spans="1:5" x14ac:dyDescent="0.25">
      <c r="A4" s="7" cm="1">
        <f t="array" ref="A4">_xlfn.XLOOKUP(B4,_xlfn.UNIQUE($B$2:$B$39),_xlfn.SEQUENCE(ROWS(_xlfn.UNIQUE($B$2:$B$39)),1,1))</f>
        <v>2</v>
      </c>
      <c r="B4" s="7" t="s">
        <v>87</v>
      </c>
      <c r="C4" t="str">
        <v>Taxa de juros Reino Unido 3 meses</v>
      </c>
      <c r="D4" t="str">
        <v>GTGBP3MO Corp</v>
      </c>
      <c r="E4" t="s">
        <v>77</v>
      </c>
    </row>
    <row r="5" spans="1:5" x14ac:dyDescent="0.25">
      <c r="A5" s="7" cm="1">
        <f t="array" ref="A5">_xlfn.XLOOKUP(B5,_xlfn.UNIQUE($B$2:$B$39),_xlfn.SEQUENCE(ROWS(_xlfn.UNIQUE($B$2:$B$39)),1,1))</f>
        <v>2</v>
      </c>
      <c r="B5" s="7" t="s">
        <v>87</v>
      </c>
      <c r="C5" t="str">
        <v>Taxa de juros Alemanha 3 meses</v>
      </c>
      <c r="D5" t="str">
        <v>GTDEM3M Govt</v>
      </c>
      <c r="E5" t="s">
        <v>77</v>
      </c>
    </row>
    <row r="6" spans="1:5" x14ac:dyDescent="0.25">
      <c r="A6" s="7" cm="1">
        <f t="array" ref="A6">_xlfn.XLOOKUP(B6,_xlfn.UNIQUE($B$2:$B$39),_xlfn.SEQUENCE(ROWS(_xlfn.UNIQUE($B$2:$B$39)),1,1))</f>
        <v>2</v>
      </c>
      <c r="B6" s="7" t="s">
        <v>87</v>
      </c>
      <c r="C6" t="str">
        <v>Taxa de juros Japao 3 meses</v>
      </c>
      <c r="D6" t="str">
        <v>GTJPY3MO Corp</v>
      </c>
      <c r="E6" t="s">
        <v>77</v>
      </c>
    </row>
    <row r="7" spans="1:5" x14ac:dyDescent="0.25">
      <c r="A7" s="7" cm="1">
        <f t="array" ref="A7">_xlfn.XLOOKUP(B7,_xlfn.UNIQUE($B$2:$B$39),_xlfn.SEQUENCE(ROWS(_xlfn.UNIQUE($B$2:$B$39)),1,1))</f>
        <v>2</v>
      </c>
      <c r="B7" s="7" t="s">
        <v>87</v>
      </c>
      <c r="C7" t="str">
        <v>Taxa de juros EUA 2 anos</v>
      </c>
      <c r="D7" t="str">
        <v>USGG2YR Index</v>
      </c>
      <c r="E7" t="s">
        <v>77</v>
      </c>
    </row>
    <row r="8" spans="1:5" x14ac:dyDescent="0.25">
      <c r="A8" s="7" cm="1">
        <f t="array" ref="A8">_xlfn.XLOOKUP(B8,_xlfn.UNIQUE($B$2:$B$39),_xlfn.SEQUENCE(ROWS(_xlfn.UNIQUE($B$2:$B$39)),1,1))</f>
        <v>2</v>
      </c>
      <c r="B8" s="7" t="s">
        <v>87</v>
      </c>
      <c r="C8" t="str">
        <v>Taxa de juros Reino Unido 2 anos</v>
      </c>
      <c r="D8" t="str">
        <v>GTGBP2YR Corp</v>
      </c>
      <c r="E8" t="s">
        <v>77</v>
      </c>
    </row>
    <row r="9" spans="1:5" x14ac:dyDescent="0.25">
      <c r="A9" s="7" cm="1">
        <f t="array" ref="A9">_xlfn.XLOOKUP(B9,_xlfn.UNIQUE($B$2:$B$39),_xlfn.SEQUENCE(ROWS(_xlfn.UNIQUE($B$2:$B$39)),1,1))</f>
        <v>2</v>
      </c>
      <c r="B9" s="7" t="s">
        <v>87</v>
      </c>
      <c r="C9" t="str">
        <v>Taxa de juros Alemanha 2 anos</v>
      </c>
      <c r="D9" t="str">
        <v>GTDEM2Y Govt</v>
      </c>
      <c r="E9" t="s">
        <v>77</v>
      </c>
    </row>
    <row r="10" spans="1:5" x14ac:dyDescent="0.25">
      <c r="A10" s="7" cm="1">
        <f t="array" ref="A10">_xlfn.XLOOKUP(B10,_xlfn.UNIQUE($B$2:$B$39),_xlfn.SEQUENCE(ROWS(_xlfn.UNIQUE($B$2:$B$39)),1,1))</f>
        <v>2</v>
      </c>
      <c r="B10" s="7" t="s">
        <v>87</v>
      </c>
      <c r="C10" t="str">
        <v>Taxa de juros Japao 2 anos</v>
      </c>
      <c r="D10" t="str">
        <v>GTJPY2YR Corp</v>
      </c>
      <c r="E10" t="s">
        <v>77</v>
      </c>
    </row>
    <row r="11" spans="1:5" x14ac:dyDescent="0.25">
      <c r="A11" s="7" cm="1">
        <f t="array" ref="A11">_xlfn.XLOOKUP(B11,_xlfn.UNIQUE($B$2:$B$39),_xlfn.SEQUENCE(ROWS(_xlfn.UNIQUE($B$2:$B$39)),1,1))</f>
        <v>2</v>
      </c>
      <c r="B11" s="7" t="s">
        <v>87</v>
      </c>
      <c r="C11" t="str">
        <v>Taxa de juros EUA 10 anos</v>
      </c>
      <c r="D11" t="str">
        <v>USGG10YR Index</v>
      </c>
      <c r="E11" t="s">
        <v>77</v>
      </c>
    </row>
    <row r="12" spans="1:5" x14ac:dyDescent="0.25">
      <c r="A12" s="7" cm="1">
        <f t="array" ref="A12">_xlfn.XLOOKUP(B12,_xlfn.UNIQUE($B$2:$B$39),_xlfn.SEQUENCE(ROWS(_xlfn.UNIQUE($B$2:$B$39)),1,1))</f>
        <v>2</v>
      </c>
      <c r="B12" s="7" t="s">
        <v>87</v>
      </c>
      <c r="C12" t="str">
        <v>Taxa de juros Reino Unido 10 anos</v>
      </c>
      <c r="D12" t="str">
        <v>GTGBP10YR Corp</v>
      </c>
      <c r="E12" t="s">
        <v>77</v>
      </c>
    </row>
    <row r="13" spans="1:5" x14ac:dyDescent="0.25">
      <c r="A13" s="7" cm="1">
        <f t="array" ref="A13">_xlfn.XLOOKUP(B13,_xlfn.UNIQUE($B$2:$B$40),_xlfn.SEQUENCE(ROWS(_xlfn.UNIQUE($B$2:$B$40)),1,1))</f>
        <v>2</v>
      </c>
      <c r="B13" s="7" t="s">
        <v>87</v>
      </c>
      <c r="C13" t="str">
        <v>Taxa de juros Alemanha 10 anos</v>
      </c>
      <c r="D13" t="str">
        <v>GTDEM10YR Corp</v>
      </c>
      <c r="E13" t="s">
        <v>77</v>
      </c>
    </row>
    <row r="14" spans="1:5" x14ac:dyDescent="0.25">
      <c r="A14" s="7" cm="1">
        <f t="array" ref="A14">_xlfn.XLOOKUP(B14,_xlfn.UNIQUE($B$2:$B$40),_xlfn.SEQUENCE(ROWS(_xlfn.UNIQUE($B$2:$B$40)),1,1))</f>
        <v>2</v>
      </c>
      <c r="B14" s="7" t="s">
        <v>87</v>
      </c>
      <c r="C14" t="str">
        <v>Taxa de juros Japao 10 anos</v>
      </c>
      <c r="D14" t="str">
        <v>GTJPY10YR Corp</v>
      </c>
      <c r="E14" t="s">
        <v>77</v>
      </c>
    </row>
    <row r="15" spans="1:5" x14ac:dyDescent="0.25">
      <c r="A15" s="7" cm="1">
        <f t="array" ref="A15">_xlfn.XLOOKUP(B15,_xlfn.UNIQUE($B$2:$B$40),_xlfn.SEQUENCE(ROWS(_xlfn.UNIQUE($B$2:$B$40)),1,1))</f>
        <v>3</v>
      </c>
      <c r="B15" s="7" t="s">
        <v>86</v>
      </c>
      <c r="C15" t="str">
        <v>VIX</v>
      </c>
      <c r="D15" t="str">
        <v>VIX Index</v>
      </c>
      <c r="E15" t="s">
        <v>77</v>
      </c>
    </row>
    <row r="16" spans="1:5" x14ac:dyDescent="0.25">
      <c r="A16" s="7" cm="1">
        <f t="array" ref="A16">_xlfn.XLOOKUP(B16,_xlfn.UNIQUE($B$2:$B$40),_xlfn.SEQUENCE(ROWS(_xlfn.UNIQUE($B$2:$B$40)),1,1))</f>
        <v>3</v>
      </c>
      <c r="B16" s="7" t="s">
        <v>86</v>
      </c>
      <c r="C16" t="str">
        <v>CDS 5 anos</v>
      </c>
      <c r="D16" t="str">
        <v>BRAZIL CDS USD SR 5Y D14 Corp</v>
      </c>
      <c r="E16" t="s">
        <v>77</v>
      </c>
    </row>
    <row r="17" spans="1:5" x14ac:dyDescent="0.25">
      <c r="A17" s="7" cm="1">
        <f t="array" ref="A17">_xlfn.XLOOKUP(B17,_xlfn.UNIQUE($B$2:$B$40),_xlfn.SEQUENCE(ROWS(_xlfn.UNIQUE($B$2:$B$40)),1,1))</f>
        <v>4</v>
      </c>
      <c r="B17" s="7" t="s">
        <v>85</v>
      </c>
      <c r="C17" t="str">
        <v>US Dollar index (DXY) (desenvolvido)</v>
      </c>
      <c r="D17" t="str">
        <v>DXY Curncy</v>
      </c>
      <c r="E17" t="s">
        <v>77</v>
      </c>
    </row>
    <row r="18" spans="1:5" x14ac:dyDescent="0.25">
      <c r="A18" s="7" cm="1">
        <f t="array" ref="A18">_xlfn.XLOOKUP(B18,_xlfn.UNIQUE($B$2:$B$40),_xlfn.SEQUENCE(ROWS(_xlfn.UNIQUE($B$2:$B$40)),1,1))</f>
        <v>4</v>
      </c>
      <c r="B18" s="7" t="s">
        <v>85</v>
      </c>
      <c r="C18" t="str">
        <v>US Dollar index (DXY) (Emergentes)</v>
      </c>
      <c r="D18" t="str">
        <v>USTWEME Index</v>
      </c>
      <c r="E18" t="s">
        <v>77</v>
      </c>
    </row>
    <row r="19" spans="1:5" x14ac:dyDescent="0.25">
      <c r="A19" s="7" cm="1">
        <f t="array" ref="A19">_xlfn.XLOOKUP(B19,_xlfn.UNIQUE($B$2:$B$40),_xlfn.SEQUENCE(ROWS(_xlfn.UNIQUE($B$2:$B$40)),1,1))</f>
        <v>4</v>
      </c>
      <c r="B19" s="7" t="s">
        <v>85</v>
      </c>
      <c r="C19" t="str">
        <v>cambio BRL/USD</v>
      </c>
      <c r="D19" t="str">
        <v>BRL REGN Curncy</v>
      </c>
      <c r="E19" t="s">
        <v>77</v>
      </c>
    </row>
    <row r="20" spans="1:5" x14ac:dyDescent="0.25">
      <c r="A20" s="7" cm="1">
        <f t="array" ref="A20">_xlfn.XLOOKUP(B20,_xlfn.UNIQUE($B$2:$B$40),_xlfn.SEQUENCE(ROWS(_xlfn.UNIQUE($B$2:$B$40)),1,1))</f>
        <v>5</v>
      </c>
      <c r="B20" s="7" t="s">
        <v>84</v>
      </c>
      <c r="C20" t="str">
        <v>WTI</v>
      </c>
      <c r="D20" t="str">
        <v>CL1 COMB Comdty</v>
      </c>
      <c r="E20" t="s">
        <v>77</v>
      </c>
    </row>
    <row r="21" spans="1:5" x14ac:dyDescent="0.25">
      <c r="A21" s="7" cm="1">
        <f t="array" ref="A21">_xlfn.XLOOKUP(B21,_xlfn.UNIQUE($B$2:$B$40),_xlfn.SEQUENCE(ROWS(_xlfn.UNIQUE($B$2:$B$40)),1,1))</f>
        <v>5</v>
      </c>
      <c r="B21" s="7" t="s">
        <v>84</v>
      </c>
      <c r="C21" t="str">
        <v>Brent</v>
      </c>
      <c r="D21" t="str">
        <v>CO1 Comdty</v>
      </c>
      <c r="E21" t="s">
        <v>77</v>
      </c>
    </row>
    <row r="22" spans="1:5" x14ac:dyDescent="0.25">
      <c r="A22" s="7" cm="1">
        <f t="array" ref="A22">_xlfn.XLOOKUP(B22,_xlfn.UNIQUE($B$2:$B$40),_xlfn.SEQUENCE(ROWS(_xlfn.UNIQUE($B$2:$B$40)),1,1))</f>
        <v>6</v>
      </c>
      <c r="B22" s="7" t="s">
        <v>83</v>
      </c>
      <c r="C22" t="str">
        <v>Iindice de commodities CRB (foodstuffs)</v>
      </c>
      <c r="D22" t="str">
        <v>CRB FOOD Index</v>
      </c>
      <c r="E22" t="s">
        <v>77</v>
      </c>
    </row>
    <row r="23" spans="1:5" x14ac:dyDescent="0.25">
      <c r="A23" s="7" cm="1">
        <f t="array" ref="A23">_xlfn.XLOOKUP(B23,_xlfn.UNIQUE($B$2:$B$40),_xlfn.SEQUENCE(ROWS(_xlfn.UNIQUE($B$2:$B$40)),1,1))</f>
        <v>6</v>
      </c>
      <c r="B23" s="7" t="s">
        <v>83</v>
      </c>
      <c r="C23" t="str">
        <v>Iindice de commodities CRB (metals)</v>
      </c>
      <c r="D23" t="str">
        <v>CRB METL Index</v>
      </c>
      <c r="E23" t="s">
        <v>77</v>
      </c>
    </row>
    <row r="24" spans="1:5" x14ac:dyDescent="0.25">
      <c r="A24" s="7" cm="1">
        <f t="array" ref="A24">_xlfn.XLOOKUP(B24,_xlfn.UNIQUE($B$2:$B$40),_xlfn.SEQUENCE(ROWS(_xlfn.UNIQUE($B$2:$B$40)),1,1))</f>
        <v>7</v>
      </c>
      <c r="B24" s="7" t="s">
        <v>82</v>
      </c>
      <c r="C24" t="str">
        <v>Indices de Acoes MSCI Desenvolvidos</v>
      </c>
      <c r="D24" t="str">
        <v>MXWO Index</v>
      </c>
      <c r="E24" t="s">
        <v>77</v>
      </c>
    </row>
    <row r="25" spans="1:5" x14ac:dyDescent="0.25">
      <c r="A25" s="7" cm="1">
        <f t="array" ref="A25">_xlfn.XLOOKUP(B25,_xlfn.UNIQUE($B$2:$B$40),_xlfn.SEQUENCE(ROWS(_xlfn.UNIQUE($B$2:$B$40)),1,1))</f>
        <v>7</v>
      </c>
      <c r="B25" s="7" t="s">
        <v>82</v>
      </c>
      <c r="C25" t="str">
        <v>Indices de Acoes MSCI Emergentes</v>
      </c>
      <c r="D25" t="str">
        <v>MXEF Index</v>
      </c>
      <c r="E25" t="s">
        <v>77</v>
      </c>
    </row>
    <row r="26" spans="1:5" x14ac:dyDescent="0.25">
      <c r="A26" s="7" cm="1">
        <f t="array" ref="A26">_xlfn.XLOOKUP(B26,_xlfn.UNIQUE($B$2:$B$40),_xlfn.SEQUENCE(ROWS(_xlfn.UNIQUE($B$2:$B$40)),1,1))</f>
        <v>7</v>
      </c>
      <c r="B26" s="7" t="s">
        <v>82</v>
      </c>
      <c r="C26" t="str">
        <v>Ibovespa</v>
      </c>
      <c r="D26" t="str">
        <v>IBOV Index</v>
      </c>
      <c r="E26" t="s">
        <v>77</v>
      </c>
    </row>
    <row r="27" spans="1:5" x14ac:dyDescent="0.25">
      <c r="A27" s="7" cm="1">
        <f t="array" ref="A27">_xlfn.XLOOKUP(B27,_xlfn.UNIQUE($B$2:$B$40),_xlfn.SEQUENCE(ROWS(_xlfn.UNIQUE($B$2:$B$40)),1,1))</f>
        <v>8</v>
      </c>
      <c r="B27" s="7" t="s">
        <v>81</v>
      </c>
      <c r="C27" t="str">
        <v>BRL SWAP PRE-DI (252)</v>
      </c>
      <c r="D27" t="str">
        <v>BCSFLPDV Curncy</v>
      </c>
      <c r="E27" t="s">
        <v>77</v>
      </c>
    </row>
    <row r="28" spans="1:5" x14ac:dyDescent="0.25">
      <c r="A28" s="7" cm="1">
        <f t="array" ref="A28">_xlfn.XLOOKUP(B28,_xlfn.UNIQUE($B$2:$B$40),_xlfn.SEQUENCE(ROWS(_xlfn.UNIQUE($B$2:$B$40)),1,1))</f>
        <v>8</v>
      </c>
      <c r="B28" s="7" t="s">
        <v>81</v>
      </c>
      <c r="C28" t="str">
        <v>BRL SWAP PRE-DI (1512)</v>
      </c>
      <c r="D28" t="str">
        <v>BCSFTPDV CMPN Curncy</v>
      </c>
      <c r="E28" t="s">
        <v>77</v>
      </c>
    </row>
    <row r="29" spans="1:5" x14ac:dyDescent="0.25">
      <c r="A29" s="7" cm="1">
        <f t="array" ref="A29">_xlfn.XLOOKUP(B29,_xlfn.UNIQUE($B$2:$B$40),_xlfn.SEQUENCE(ROWS(_xlfn.UNIQUE($B$2:$B$40)),1,1))</f>
        <v>9</v>
      </c>
      <c r="B29" s="7" t="s">
        <v>88</v>
      </c>
      <c r="C29" t="str">
        <v>IBCBR</v>
      </c>
      <c r="D29" t="str">
        <v>BZEASA Index</v>
      </c>
      <c r="E29" t="s">
        <v>77</v>
      </c>
    </row>
    <row r="30" spans="1:5" x14ac:dyDescent="0.25">
      <c r="A30" s="7" cm="1">
        <f t="array" ref="A30">_xlfn.XLOOKUP(B30,_xlfn.UNIQUE($B$2:$B$40),_xlfn.SEQUENCE(ROWS(_xlfn.UNIQUE($B$2:$B$40)),1,1))</f>
        <v>8</v>
      </c>
      <c r="B30" s="7" t="s">
        <v>81</v>
      </c>
      <c r="C30" t="str">
        <v>BRL SWAP PRE-DI (5Y)</v>
      </c>
      <c r="D30" t="str">
        <v>BCSWNPD BGN Curncy</v>
      </c>
      <c r="E30" t="s">
        <v>77</v>
      </c>
    </row>
    <row r="31" spans="1:5" x14ac:dyDescent="0.25">
      <c r="A31" s="7" cm="1">
        <f t="array" ref="A31">_xlfn.XLOOKUP(B31,_xlfn.UNIQUE($B$2:$B$40),_xlfn.SEQUENCE(ROWS(_xlfn.UNIQUE($B$2:$B$40)),1,1))</f>
        <v>8</v>
      </c>
      <c r="B31" s="7" t="s">
        <v>81</v>
      </c>
      <c r="C31" t="str">
        <v>BRL SWAP PRE-DI (2Y)</v>
      </c>
      <c r="D31" t="str">
        <v>BCSWKPD BGN Curncy</v>
      </c>
      <c r="E31" t="s">
        <v>77</v>
      </c>
    </row>
    <row r="32" spans="1:5" x14ac:dyDescent="0.25">
      <c r="A32" s="7" cm="1">
        <f t="array" ref="A32">_xlfn.XLOOKUP(B32,_xlfn.UNIQUE($B$2:$B$40),_xlfn.SEQUENCE(ROWS(_xlfn.UNIQUE($B$2:$B$40)),1,1))</f>
        <v>8</v>
      </c>
      <c r="B32" s="7" t="s">
        <v>81</v>
      </c>
      <c r="C32" t="str">
        <v>BRL SWAP PRE-DI (1Y)</v>
      </c>
      <c r="D32" t="str">
        <v>BCSWFPD BGN Curncy</v>
      </c>
      <c r="E32" t="s">
        <v>77</v>
      </c>
    </row>
    <row r="33" spans="1:5" x14ac:dyDescent="0.25">
      <c r="A33" s="7" cm="1">
        <f t="array" ref="A33">_xlfn.XLOOKUP(B33,_xlfn.UNIQUE($B$2:$B$40),_xlfn.SEQUENCE(ROWS(_xlfn.UNIQUE($B$2:$B$40)),1,1))</f>
        <v>1</v>
      </c>
      <c r="C33">
        <v>0</v>
      </c>
      <c r="D33" t="str">
        <v>BCSFLPDV BLP Curncy</v>
      </c>
      <c r="E33" t="s">
        <v>77</v>
      </c>
    </row>
    <row r="34" spans="1:5" x14ac:dyDescent="0.25">
      <c r="A34" s="7" cm="1">
        <f t="array" ref="A34">_xlfn.XLOOKUP(B34,_xlfn.UNIQUE($B$2:$B$40),_xlfn.SEQUENCE(ROWS(_xlfn.UNIQUE($B$2:$B$40)),1,1))</f>
        <v>4</v>
      </c>
      <c r="B34" s="7" t="s">
        <v>85</v>
      </c>
      <c r="C34" t="str">
        <v>EURUSD Taxa de câmbio spot - Preço de 1 EUR em USD</v>
      </c>
      <c r="D34" t="str">
        <v>EUR BGN Curncy</v>
      </c>
      <c r="E34" t="s">
        <v>77</v>
      </c>
    </row>
    <row r="35" spans="1:5" x14ac:dyDescent="0.25">
      <c r="A35" s="7" cm="1">
        <f t="array" ref="A35">_xlfn.XLOOKUP(B35,_xlfn.UNIQUE($B$2:$B$40),_xlfn.SEQUENCE(ROWS(_xlfn.UNIQUE($B$2:$B$40)),1,1))</f>
        <v>4</v>
      </c>
      <c r="B35" s="7" t="s">
        <v>85</v>
      </c>
      <c r="C35" t="str">
        <v>USDJPY Taxa de câmbio spot - Preço de 1 USD em JPY</v>
      </c>
      <c r="D35" t="str">
        <v>JPY BGN Curncy</v>
      </c>
      <c r="E35" t="s">
        <v>77</v>
      </c>
    </row>
    <row r="36" spans="1:5" x14ac:dyDescent="0.25">
      <c r="A36" s="7" cm="1">
        <f t="array" ref="A36">_xlfn.XLOOKUP(B36,_xlfn.UNIQUE($B$2:$B$40),_xlfn.SEQUENCE(ROWS(_xlfn.UNIQUE($B$2:$B$40)),1,1))</f>
        <v>4</v>
      </c>
      <c r="B36" s="7" t="s">
        <v>85</v>
      </c>
      <c r="C36" t="str">
        <v>GBPUSD Taxa de câmbio spot - Preço de 1 GBP em USD</v>
      </c>
      <c r="D36" t="str">
        <v>GBP BGN Curncy</v>
      </c>
      <c r="E36" t="s">
        <v>77</v>
      </c>
    </row>
    <row r="37" spans="1:5" x14ac:dyDescent="0.25">
      <c r="A37" s="7" cm="1">
        <f t="array" ref="A37">_xlfn.XLOOKUP(B37,_xlfn.UNIQUE($B$2:$B$40),_xlfn.SEQUENCE(ROWS(_xlfn.UNIQUE($B$2:$B$40)),1,1))</f>
        <v>4</v>
      </c>
      <c r="B37" s="7" t="s">
        <v>85</v>
      </c>
      <c r="C37" t="str">
        <v>USDCAD Taxa de câmbio spot - Preço de 1 USD em CAD</v>
      </c>
      <c r="D37" t="str">
        <v>CAD BGN Curncy</v>
      </c>
      <c r="E37" t="s">
        <v>77</v>
      </c>
    </row>
    <row r="38" spans="1:5" x14ac:dyDescent="0.25">
      <c r="A38" s="7" cm="1">
        <f t="array" ref="A38">_xlfn.XLOOKUP(B38,_xlfn.UNIQUE($B$2:$B$40),_xlfn.SEQUENCE(ROWS(_xlfn.UNIQUE($B$2:$B$40)),1,1))</f>
        <v>4</v>
      </c>
      <c r="B38" s="7" t="s">
        <v>85</v>
      </c>
      <c r="C38" t="str">
        <v>USDSEK Taxa de câmbio spot - Preço de 1 USD em SEK</v>
      </c>
      <c r="D38" t="str">
        <v>SEK BGN Curncy</v>
      </c>
      <c r="E38" t="s">
        <v>77</v>
      </c>
    </row>
    <row r="39" spans="1:5" x14ac:dyDescent="0.25">
      <c r="A39" s="7" cm="1">
        <f t="array" ref="A39">_xlfn.XLOOKUP(B39,_xlfn.UNIQUE($B$2:$B$40),_xlfn.SEQUENCE(ROWS(_xlfn.UNIQUE($B$2:$B$40)),1,1))</f>
        <v>4</v>
      </c>
      <c r="B39" s="7" t="s">
        <v>85</v>
      </c>
      <c r="C39" t="str">
        <v>USDCHF Taxa de câmbio spot - Preço de 1 USD em CHF</v>
      </c>
      <c r="D39" t="str">
        <v>CHF BGN Curncy</v>
      </c>
      <c r="E39" t="s">
        <v>77</v>
      </c>
    </row>
    <row r="40" spans="1:5" x14ac:dyDescent="0.25">
      <c r="A40" s="7" cm="1">
        <f t="array" ref="A40">_xlfn.XLOOKUP(B40,_xlfn.UNIQUE($B$2:$B$40),_xlfn.SEQUENCE(ROWS(_xlfn.UNIQUE($B$2:$B$40)),1,1))</f>
        <v>9</v>
      </c>
      <c r="B40" s="7" t="s">
        <v>88</v>
      </c>
      <c r="E40" t="s">
        <v>77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2718D5C22B814DA66EA3FE5FFD14DC" ma:contentTypeVersion="0" ma:contentTypeDescription="Crie um novo documento." ma:contentTypeScope="" ma:versionID="9d4f1a0ad7dcca502f4eda9911b718e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257547f92819c86ae4143fe76bb6c5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744333-1CB0-45CD-8765-6E636C066E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DA24F5-C90A-4520-9489-6901A71098F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270EFA5-101B-4D2F-B4B2-5F424F5E43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Mensal_BBG</vt:lpstr>
      <vt:lpstr>Dados</vt:lpstr>
    </vt:vector>
  </TitlesOfParts>
  <Manager/>
  <Company>FGV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</dc:creator>
  <cp:keywords/>
  <dc:description/>
  <cp:lastModifiedBy>Bruno Tebaldi</cp:lastModifiedBy>
  <cp:revision/>
  <dcterms:created xsi:type="dcterms:W3CDTF">2025-06-12T20:54:30Z</dcterms:created>
  <dcterms:modified xsi:type="dcterms:W3CDTF">2026-03-17T14:58:21Z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ContentTypeId">
    <vt:lpwstr>0x010100252718D5C22B814DA66EA3FE5FFD14DC</vt:lpwstr>
  </property>
</Properties>
</file>