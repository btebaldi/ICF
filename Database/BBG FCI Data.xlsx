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no.barbosa\Downloads\"/>
    </mc:Choice>
  </mc:AlternateContent>
  <xr:revisionPtr revIDLastSave="0" documentId="13_ncr:1_{6ACBA909-AB7A-4CEF-84CD-3C3A602D047E}" xr6:coauthVersionLast="47" xr6:coauthVersionMax="47" xr10:uidLastSave="{00000000-0000-0000-0000-000000000000}"/>
  <bookViews>
    <workbookView xWindow="28680" yWindow="-120" windowWidth="29040" windowHeight="15720" xr2:uid="{D4C5CD99-ED57-4B76-84B6-86F53E6B3EEC}"/>
  </bookViews>
  <sheets>
    <sheet name="Mensal_BBG" sheetId="1" r:id="rId1"/>
    <sheet name="Dados" sheetId="3" r:id="rId2"/>
  </sheets>
  <definedNames>
    <definedName name="SpreadsheetBuilder_1" hidden="1">Mensal_BBG!$A$1:$E$6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1" l="1" a="1"/>
  <c r="R6" i="1" a="1"/>
  <c r="T6" i="1" a="1"/>
  <c r="AG6" i="1" a="1"/>
  <c r="Z6" i="1" a="1"/>
  <c r="AE6" i="1" a="1"/>
  <c r="Y6" i="1" a="1"/>
  <c r="U6" i="1" a="1"/>
  <c r="O6" i="1" a="1"/>
  <c r="AN6" i="1" a="1"/>
  <c r="J6" i="1" a="1"/>
  <c r="F6" i="1" a="1"/>
  <c r="X6" i="1" a="1"/>
  <c r="AD6" i="1" a="1"/>
  <c r="AO6" i="1" a="1"/>
  <c r="S6" i="1" a="1"/>
  <c r="AC6" i="1" a="1"/>
  <c r="AL6" i="1" a="1"/>
  <c r="V6" i="1" a="1"/>
  <c r="L6" i="1" a="1"/>
  <c r="AP6" i="1" a="1"/>
  <c r="N6" i="1" a="1"/>
  <c r="AI6" i="1" a="1"/>
  <c r="K6" i="1" a="1"/>
  <c r="C6" i="1" a="1"/>
  <c r="AK6" i="1" a="1"/>
  <c r="AH6" i="1" a="1"/>
  <c r="D6" i="1" a="1"/>
  <c r="E6" i="1" a="1"/>
  <c r="AA6" i="1" a="1"/>
  <c r="AJ6" i="1" a="1"/>
  <c r="AQ6" i="1" a="1"/>
  <c r="AM6" i="1" a="1"/>
  <c r="P6" i="1" a="1"/>
  <c r="I6" i="1" a="1"/>
  <c r="H6" i="1" a="1"/>
  <c r="W6" i="1" a="1"/>
  <c r="AB6" i="1" a="1"/>
  <c r="AF6" i="1" a="1"/>
  <c r="G6" i="1" a="1"/>
  <c r="M6" i="1" a="1"/>
  <c r="A6" i="1" a="1"/>
  <c r="U6" i="1" l="1"/>
  <c r="Y6" i="1"/>
  <c r="AE6" i="1"/>
  <c r="Z6" i="1"/>
  <c r="AG6" i="1"/>
  <c r="T6" i="1"/>
  <c r="R6" i="1"/>
  <c r="Q6" i="1"/>
  <c r="S6" i="1"/>
  <c r="AO6" i="1"/>
  <c r="AD6" i="1"/>
  <c r="X6" i="1"/>
  <c r="F6" i="1"/>
  <c r="J6" i="1"/>
  <c r="AN6" i="1"/>
  <c r="O6" i="1"/>
  <c r="K6" i="1"/>
  <c r="AI6" i="1"/>
  <c r="N6" i="1"/>
  <c r="AP6" i="1"/>
  <c r="L6" i="1"/>
  <c r="V6" i="1"/>
  <c r="AL6" i="1"/>
  <c r="AC6" i="1"/>
  <c r="G6" i="1"/>
  <c r="AF6" i="1"/>
  <c r="AB6" i="1"/>
  <c r="W6" i="1"/>
  <c r="H6" i="1"/>
  <c r="I6" i="1"/>
  <c r="P6" i="1"/>
  <c r="AM6" i="1"/>
  <c r="AQ6" i="1"/>
  <c r="AJ6" i="1"/>
  <c r="AA6" i="1"/>
  <c r="E6" i="1"/>
  <c r="D6" i="1"/>
  <c r="AH6" i="1"/>
  <c r="AK6" i="1"/>
  <c r="C6" i="1"/>
  <c r="M6" i="1"/>
  <c r="A6" i="1"/>
  <c r="C2" i="3" l="1" a="1"/>
  <c r="C2" i="3" s="1"/>
  <c r="D2" i="3" a="1"/>
  <c r="D2" i="3" s="1"/>
  <c r="A3" i="3" a="1"/>
  <c r="A3" i="3" s="1"/>
  <c r="A14" i="3" a="1"/>
  <c r="A14" i="3" s="1"/>
  <c r="A15" i="3" a="1"/>
  <c r="A15" i="3" s="1"/>
  <c r="A16" i="3" a="1"/>
  <c r="A16" i="3" s="1"/>
  <c r="A17" i="3" a="1"/>
  <c r="A17" i="3" s="1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A25" i="3" a="1"/>
  <c r="A25" i="3" s="1"/>
  <c r="A26" i="3" a="1"/>
  <c r="A26" i="3" s="1"/>
  <c r="A27" i="3" a="1"/>
  <c r="A27" i="3" s="1"/>
  <c r="A28" i="3" a="1"/>
  <c r="A28" i="3" s="1"/>
  <c r="A29" i="3" a="1"/>
  <c r="A29" i="3" s="1"/>
  <c r="A30" i="3" a="1"/>
  <c r="A30" i="3" s="1"/>
  <c r="A31" i="3" a="1"/>
  <c r="A31" i="3" s="1"/>
  <c r="A32" i="3" a="1"/>
  <c r="A32" i="3" s="1"/>
  <c r="A33" i="3" a="1"/>
  <c r="A33" i="3" s="1"/>
  <c r="A34" i="3" a="1"/>
  <c r="A34" i="3" s="1"/>
  <c r="A35" i="3" a="1"/>
  <c r="A35" i="3" s="1"/>
  <c r="A36" i="3" a="1"/>
  <c r="A36" i="3" s="1"/>
  <c r="A37" i="3" a="1"/>
  <c r="A37" i="3" s="1"/>
  <c r="A38" i="3" a="1"/>
  <c r="A38" i="3" s="1"/>
  <c r="A39" i="3" a="1"/>
  <c r="A39" i="3" s="1"/>
  <c r="A40" i="3" a="1"/>
  <c r="A40" i="3" s="1"/>
  <c r="A13" i="3" a="1"/>
  <c r="A13" i="3" s="1"/>
  <c r="A12" i="3" a="1"/>
  <c r="A12" i="3" s="1"/>
  <c r="A11" i="3" a="1"/>
  <c r="A11" i="3" s="1"/>
  <c r="A10" i="3" a="1"/>
  <c r="A10" i="3" s="1"/>
  <c r="A9" i="3" a="1"/>
  <c r="A9" i="3" s="1"/>
  <c r="A8" i="3" a="1"/>
  <c r="A8" i="3" s="1"/>
  <c r="A7" i="3" a="1"/>
  <c r="A7" i="3" s="1"/>
  <c r="A6" i="3" a="1"/>
  <c r="A6" i="3" s="1"/>
  <c r="A5" i="3" a="1"/>
  <c r="A5" i="3" s="1"/>
  <c r="A4" i="3" a="1"/>
  <c r="A4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<sst xmlns="http://schemas.openxmlformats.org/spreadsheetml/2006/main" count="212" uniqueCount="103">
  <si>
    <t>Data inicial</t>
  </si>
  <si>
    <t>Data final</t>
  </si>
  <si>
    <t>EURUSD Taxa de câmbio spot - Preço de 1 EUR em USD</t>
  </si>
  <si>
    <t>USDJPY Taxa de câmbio spot - Preço de 1 USD em JPY</t>
  </si>
  <si>
    <t>GBPUSD Taxa de câmbio spot - Preço de 1 GBP em USD</t>
  </si>
  <si>
    <t>USDCAD Taxa de câmbio spot - Preço de 1 USD em CAD</t>
  </si>
  <si>
    <t>USDSEK Taxa de câmbio spot - Preço de 1 USD em SEK</t>
  </si>
  <si>
    <t>USDCHF Taxa de câmbio spot - Preço de 1 USD em CHF</t>
  </si>
  <si>
    <t>USGG3M Index</t>
  </si>
  <si>
    <t>GTGBP3MO Corp</t>
  </si>
  <si>
    <t>GTDEM3M Govt</t>
  </si>
  <si>
    <t>GTJPY3MO Corp</t>
  </si>
  <si>
    <t>USGG2YR Index</t>
  </si>
  <si>
    <t>GTGBP2YR Corp</t>
  </si>
  <si>
    <t>GTDEM2Y Govt</t>
  </si>
  <si>
    <t>GTJPY2YR Corp</t>
  </si>
  <si>
    <t>USGG10YR Index</t>
  </si>
  <si>
    <t>GTGBP10YR Corp</t>
  </si>
  <si>
    <t>GTDEM10YR Corp</t>
  </si>
  <si>
    <t>GTJPY10YR Corp</t>
  </si>
  <si>
    <t>VIX Index</t>
  </si>
  <si>
    <t>BRAZIL CDS USD SR 5Y D14 Corp</t>
  </si>
  <si>
    <t>DXY Curncy</t>
  </si>
  <si>
    <t>USTWEME Index</t>
  </si>
  <si>
    <t>BRL REGN Curncy</t>
  </si>
  <si>
    <t>CL1 COMB Comdty</t>
  </si>
  <si>
    <t>CO1 Comdty</t>
  </si>
  <si>
    <t>CRB FOOD Index</t>
  </si>
  <si>
    <t>CRB METL Index</t>
  </si>
  <si>
    <t>MXWO Index</t>
  </si>
  <si>
    <t>MXEF Index</t>
  </si>
  <si>
    <t>IBOV Index</t>
  </si>
  <si>
    <t>BCSFTPDV CMPN Curncy</t>
  </si>
  <si>
    <t>BZEASA Index</t>
  </si>
  <si>
    <t>BCSFLPDV BLP Curncy</t>
  </si>
  <si>
    <t>EUR BGN Curncy</t>
  </si>
  <si>
    <t>JPY BGN Curncy</t>
  </si>
  <si>
    <t>GBP BGN Curncy</t>
  </si>
  <si>
    <t>CAD BGN Curncy</t>
  </si>
  <si>
    <t>SEK BGN Curncy</t>
  </si>
  <si>
    <t>CHF BGN Curncy</t>
  </si>
  <si>
    <t>Dates</t>
  </si>
  <si>
    <t>PX_LAST</t>
  </si>
  <si>
    <t>Taxa de juros EUA 3 meses</t>
  </si>
  <si>
    <t>Taxa de juros Reino Unido 3 meses</t>
  </si>
  <si>
    <t>Taxa de juros Alemanha 3 meses</t>
  </si>
  <si>
    <t>Taxa de juros Japao 3 meses</t>
  </si>
  <si>
    <t>Taxa de juros EUA 2 anos</t>
  </si>
  <si>
    <t>Taxa de juros Reino Unido 2 anos</t>
  </si>
  <si>
    <t>Taxa de juros Alemanha 2 anos</t>
  </si>
  <si>
    <t>Taxa de juros Japao 2 anos</t>
  </si>
  <si>
    <t>Taxa de juros EUA 10 anos</t>
  </si>
  <si>
    <t>Taxa de juros Reino Unido 10 anos</t>
  </si>
  <si>
    <t>Taxa de juros Alemanha 10 anos</t>
  </si>
  <si>
    <t>Taxa de juros Japao 10 anos</t>
  </si>
  <si>
    <t>VIX</t>
  </si>
  <si>
    <t>CDS 5 anos</t>
  </si>
  <si>
    <t>US Dollar index (DXY) (desenvolvido)</t>
  </si>
  <si>
    <t>US Dollar index (DXY) (Emergentes)</t>
  </si>
  <si>
    <t>cambio BRL/USD</t>
  </si>
  <si>
    <t>WTI</t>
  </si>
  <si>
    <t>Brent</t>
  </si>
  <si>
    <t>Iindice de commodities CRB (foodstuffs)</t>
  </si>
  <si>
    <t>Iindice de commodities CRB (metals)</t>
  </si>
  <si>
    <t>Indices de Acoes MSCI Desenvolvidos</t>
  </si>
  <si>
    <t>Indices de Acoes MSCI Emergentes</t>
  </si>
  <si>
    <t>Ibovespa</t>
  </si>
  <si>
    <t>Bloomberg</t>
  </si>
  <si>
    <t>Fonte</t>
  </si>
  <si>
    <t>Grupo_Desc</t>
  </si>
  <si>
    <t>Grupo_Id</t>
  </si>
  <si>
    <t>Juros Brazil</t>
  </si>
  <si>
    <t>Mercado de capitais</t>
  </si>
  <si>
    <t>Commoditires</t>
  </si>
  <si>
    <t>Petroleo</t>
  </si>
  <si>
    <t>Moedas</t>
  </si>
  <si>
    <t>Risco</t>
  </si>
  <si>
    <t>Juros exterior</t>
  </si>
  <si>
    <t>Produto</t>
  </si>
  <si>
    <t>Date</t>
  </si>
  <si>
    <t>Period (M=Month/D=Daily)</t>
  </si>
  <si>
    <t>M</t>
  </si>
  <si>
    <t>BZIPCAPI Index</t>
  </si>
  <si>
    <t>Producao Industrial Bens de Capital (NSA 2002=100)</t>
  </si>
  <si>
    <t>BZDIOVRA Index</t>
  </si>
  <si>
    <t>BRL Cetip DI Deposit Rate</t>
  </si>
  <si>
    <t>BRL SWAP PRE-DI (252d)</t>
  </si>
  <si>
    <t>BCSFPPDV BLP Curncy</t>
  </si>
  <si>
    <t>BCSFQPDV BLP Curncy</t>
  </si>
  <si>
    <t>BRL SWAP PRE-DI (504d)</t>
  </si>
  <si>
    <t>BRL SWAP PRE-DI (756d)</t>
  </si>
  <si>
    <t>BCSFSPDV BLP Curncy</t>
  </si>
  <si>
    <t>BRL SWAP PRE-DI (1260d)</t>
  </si>
  <si>
    <t>BRL SWAP PRE-DI (1512d)</t>
  </si>
  <si>
    <t>BCSFXPDV BLP Curncy</t>
  </si>
  <si>
    <t>BRL SWAP PRE-DI (2520d)</t>
  </si>
  <si>
    <t>BZIPTLYO Index</t>
  </si>
  <si>
    <t>Producao Industrial Bens de Capital (NSA 2012=100)</t>
  </si>
  <si>
    <t>Producao Industrial Bens de Capital (SA 2012=100)</t>
  </si>
  <si>
    <t>BZIPTLSA Index</t>
  </si>
  <si>
    <t>BZEANSA Index</t>
  </si>
  <si>
    <t>IBCBR (NSA)</t>
  </si>
  <si>
    <t>IBCBR (SA)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</si>
</sst>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textRotation="45"/>
    </xf>
    <xf numFmtId="0" fontId="0" fillId="0" borderId="0" xfId="0" applyAlignment="1">
      <alignment textRotation="45" wrapText="1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BDH|10833624305227904942</stp>
        <tr r="I6" s="1"/>
      </tp>
      <tp t="s">
        <v>#N/A N/A</v>
        <stp/>
        <stp>BDH|18118523371244372717</stp>
        <tr r="M6" s="1"/>
      </tp>
      <tp t="s">
        <v>#N/A N/A</v>
        <stp/>
        <stp>BDH|16672819541627049390</stp>
        <tr r="AM6" s="1"/>
      </tp>
    </main>
    <main first="bofaddin.rtdserver">
      <tp t="s">
        <v>#N/A N/A</v>
        <stp/>
        <stp>BDH|15032446661610005872</stp>
        <tr r="AK6" s="1"/>
      </tp>
      <tp t="s">
        <v>#N/A N/A</v>
        <stp/>
        <stp>BDH|13016791025778751148</stp>
        <tr r="P6" s="1"/>
      </tp>
    </main>
    <main first="bofaddin.rtdserver">
      <tp t="s">
        <v>#N/A N/A</v>
        <stp/>
        <stp>BDH|17325276673907215975</stp>
        <tr r="D6" s="1"/>
      </tp>
      <tp t="s">
        <v>#N/A N/A</v>
        <stp/>
        <stp>BDH|11492284566850356955</stp>
        <tr r="G6" s="1"/>
      </tp>
    </main>
    <main first="bofaddin.rtdserver">
      <tp t="s">
        <v>#N/A N/A</v>
        <stp/>
        <stp>BDH|11328499281180123031</stp>
        <tr r="AH6" s="1"/>
      </tp>
      <tp t="s">
        <v>#N/A N/A</v>
        <stp/>
        <stp>BDH|13888560903276969258</stp>
        <tr r="AJ6" s="1"/>
      </tp>
      <tp t="s">
        <v>#N/A N/A</v>
        <stp/>
        <stp>BDH|16326982467223051967</stp>
        <tr r="AB6" s="1"/>
      </tp>
      <tp t="s">
        <v>#N/A N/A</v>
        <stp/>
        <stp>BDH|17957783509105548545</stp>
        <tr r="C6" s="1"/>
      </tp>
      <tp t="s">
        <v>#N/A N/A</v>
        <stp/>
        <stp>BDH|14880415314622657355</stp>
        <tr r="E6" s="1"/>
      </tp>
    </main>
    <main first="bofaddin.rtdserver">
      <tp t="s">
        <v>#N/A N/A</v>
        <stp/>
        <stp>BDH|16253654469650778793</stp>
        <tr r="AF6" s="1"/>
      </tp>
    </main>
    <main first="bofaddin.rtdserver">
      <tp t="s">
        <v>#N/A N/A</v>
        <stp/>
        <stp>BDH|15810230068436003124</stp>
        <tr r="W6" s="1"/>
      </tp>
      <tp t="s">
        <v>#N/A N/A</v>
        <stp/>
        <stp>BDH|11102337629697727131</stp>
        <tr r="AA6" s="1"/>
      </tp>
    </main>
    <main first="bofaddin.rtdserver">
      <tp t="s">
        <v>#N/A N/A</v>
        <stp/>
        <stp>BDH|11538320866916340652</stp>
        <tr r="H6" s="1"/>
      </tp>
      <tp t="s">
        <v>#N/A N/A</v>
        <stp/>
        <stp>BDH|11036873063989030227</stp>
        <tr r="AQ6" s="1"/>
      </tp>
    </main>
    <main first="bofaddin.rtdserver">
      <tp t="s">
        <v>#N/A N/A</v>
        <stp/>
        <stp>BDH|3117102754638291369</stp>
        <tr r="AC6" s="1"/>
      </tp>
      <tp t="s">
        <v>#N/A N/A</v>
        <stp/>
        <stp>BDH|8064332663790458096</stp>
        <tr r="S6" s="1"/>
      </tp>
      <tp t="s">
        <v>#N/A N/A</v>
        <stp/>
        <stp>BDH|7109833843982549466</stp>
        <tr r="AD6" s="1"/>
      </tp>
      <tp t="s">
        <v>#N/A N/A</v>
        <stp/>
        <stp>BDH|1160720913238417193</stp>
        <tr r="T6" s="1"/>
      </tp>
      <tp t="s">
        <v>#N/A N/A</v>
        <stp/>
        <stp>BDH|1874018929184728909</stp>
        <tr r="AL6" s="1"/>
      </tp>
      <tp t="s">
        <v>#N/A N/A</v>
        <stp/>
        <stp>BDH|1542639125018601311</stp>
        <tr r="AG6" s="1"/>
      </tp>
      <tp t="s">
        <v>#N/A N/A</v>
        <stp/>
        <stp>BDH|6176045880841184736</stp>
        <tr r="AO6" s="1"/>
      </tp>
      <tp t="s">
        <v>#N/A N/A</v>
        <stp/>
        <stp>BDH|8430424904793238595</stp>
        <tr r="O6" s="1"/>
      </tp>
      <tp t="s">
        <v>#N/A N/A</v>
        <stp/>
        <stp>BDH|9289399748103468770</stp>
        <tr r="J6" s="1"/>
      </tp>
    </main>
    <main first="bofaddin.rtdserver">
      <tp t="s">
        <v>#N/A N/A</v>
        <stp/>
        <stp>BDH|1752680115098717574</stp>
        <tr r="V6" s="1"/>
      </tp>
      <tp t="s">
        <v>#N/A N/A</v>
        <stp/>
        <stp>BDH|2672879079276879031</stp>
        <tr r="AI6" s="1"/>
      </tp>
      <tp t="s">
        <v>#N/A N/A</v>
        <stp/>
        <stp>BDH|2164670227641292320</stp>
        <tr r="K6" s="1"/>
      </tp>
      <tp t="s">
        <v>#N/A N/A</v>
        <stp/>
        <stp>BDH|2641640012458276963</stp>
        <tr r="AP6" s="1"/>
      </tp>
      <tp t="s">
        <v>#N/A N/A</v>
        <stp/>
        <stp>BDH|3542593520274210629</stp>
        <tr r="N6" s="1"/>
      </tp>
      <tp t="s">
        <v>#N/A N/A</v>
        <stp/>
        <stp>BDH|7347362351730126687</stp>
        <tr r="X6" s="1"/>
      </tp>
      <tp t="s">
        <v>#N/A N/A</v>
        <stp/>
        <stp>BDH|1184532035295360561</stp>
        <tr r="Z6" s="1"/>
      </tp>
      <tp t="s">
        <v>#N/A N/A</v>
        <stp/>
        <stp>BDH|6773111807883425468</stp>
        <tr r="AN6" s="1"/>
      </tp>
      <tp t="s">
        <v>#N/A N/A</v>
        <stp/>
        <stp>BDH|4032663038290520004</stp>
        <tr r="F6" s="1"/>
      </tp>
      <tp t="s">
        <v>#N/A N/A</v>
        <stp/>
        <stp>BDH|1868819015973534936</stp>
        <tr r="L6" s="1"/>
      </tp>
      <tp t="s">
        <v>#N/A N/A</v>
        <stp/>
        <stp>BDH|5370668615488631840</stp>
        <tr r="A6" s="1"/>
      </tp>
      <tp t="s">
        <v>#N/A N/A</v>
        <stp/>
        <stp>BDH|1685594169346015632</stp>
        <tr r="Q6" s="1"/>
      </tp>
      <tp t="s">
        <v>#N/A N/A</v>
        <stp/>
        <stp>BDH|1087744229504843390</stp>
        <tr r="AE6" s="1"/>
      </tp>
    </main>
    <main first="bofaddin.rtdserver">
      <tp t="s">
        <v>#N/A N/A</v>
        <stp/>
        <stp>BDH|884989949738672198</stp>
        <tr r="U6" s="1"/>
      </tp>
      <tp t="s">
        <v>#N/A N/A</v>
        <stp/>
        <stp>BDH|248404520688993833</stp>
        <tr r="Y6" s="1"/>
      </tp>
      <tp t="s">
        <v>#N/A N/A</v>
        <stp/>
        <stp>BDH|279709023475138605</stp>
        <tr r="R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Relationship Id="rId14" Type="http://schemas.openxmlformats.org/officeDocument/2006/relationships/volatileDependencies" Target="volatileDependencies.xml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1220-26A9-4625-8A7A-5EE3C8BA76EC}">
  <dimension ref="A1:AQ8351"/>
  <sheetViews>
    <sheetView tabSelected="1" topLeftCell="A245" workbookViewId="0">
      <selection activeCell="A281" sqref="A281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25" bestFit="1" customWidth="1"/>
    <col min="4" max="4" width="23.7109375" bestFit="1" customWidth="1"/>
    <col min="5" max="5" width="22.5703125" bestFit="1" customWidth="1"/>
    <col min="6" max="6" width="18.5703125" bestFit="1" customWidth="1"/>
    <col min="7" max="7" width="23.85546875" bestFit="1" customWidth="1"/>
    <col min="8" max="8" width="22.5703125" bestFit="1" customWidth="1"/>
    <col min="9" max="9" width="19.5703125" bestFit="1" customWidth="1"/>
    <col min="10" max="10" width="19.28515625" bestFit="1" customWidth="1"/>
    <col min="11" max="11" width="24.5703125" bestFit="1" customWidth="1"/>
    <col min="12" max="12" width="23.28515625" bestFit="1" customWidth="1"/>
    <col min="13" max="13" width="20.28515625" bestFit="1" customWidth="1"/>
    <col min="14" max="14" width="9" bestFit="1" customWidth="1"/>
    <col min="15" max="15" width="22.5703125" bestFit="1" customWidth="1"/>
    <col min="16" max="16" width="26.5703125" bestFit="1" customWidth="1"/>
    <col min="17" max="17" width="25.5703125" bestFit="1" customWidth="1"/>
    <col min="18" max="18" width="13.7109375" bestFit="1" customWidth="1"/>
    <col min="19" max="19" width="14.5703125" bestFit="1" customWidth="1"/>
    <col min="20" max="20" width="10.7109375" bestFit="1" customWidth="1"/>
    <col min="21" max="21" width="28.7109375" bestFit="1" customWidth="1"/>
    <col min="22" max="22" width="26.5703125" bestFit="1" customWidth="1"/>
    <col min="23" max="23" width="26.85546875" bestFit="1" customWidth="1"/>
    <col min="24" max="24" width="25" bestFit="1" customWidth="1"/>
    <col min="25" max="25" width="10" bestFit="1" customWidth="1"/>
    <col min="26" max="26" width="18.42578125" bestFit="1" customWidth="1"/>
    <col min="27" max="27" width="19" bestFit="1" customWidth="1"/>
    <col min="28" max="28" width="19" customWidth="1"/>
    <col min="29" max="29" width="17.28515625" customWidth="1"/>
    <col min="30" max="31" width="18.28515625" bestFit="1" customWidth="1"/>
    <col min="32" max="32" width="19" bestFit="1" customWidth="1"/>
    <col min="33" max="38" width="23.42578125" customWidth="1"/>
    <col min="39" max="39" width="21.7109375" bestFit="1" customWidth="1"/>
    <col min="40" max="41" width="21.7109375" customWidth="1"/>
    <col min="42" max="42" width="11.5703125" bestFit="1" customWidth="1"/>
    <col min="43" max="43" width="12.5703125" bestFit="1" customWidth="1"/>
  </cols>
  <sheetData>
    <row r="1" spans="1:43" x14ac:dyDescent="0.25">
      <c r="A1" t="s">
        <v>0</v>
      </c>
      <c r="B1" s="1">
        <v>37753</v>
      </c>
      <c r="D1" t="s">
        <v>80</v>
      </c>
      <c r="E1" t="s">
        <v>81</v>
      </c>
      <c r="AF1" s="3"/>
    </row>
    <row r="2" spans="1:43" x14ac:dyDescent="0.25">
      <c r="A2" t="s">
        <v>1</v>
      </c>
    </row>
    <row r="3" spans="1:43" ht="114" customHeight="1" x14ac:dyDescent="0.25">
      <c r="A3" s="4"/>
      <c r="B3" s="4" t="s">
        <v>43</v>
      </c>
      <c r="C3" s="4" t="s">
        <v>44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49</v>
      </c>
      <c r="I3" s="4" t="s">
        <v>50</v>
      </c>
      <c r="J3" s="4" t="s">
        <v>51</v>
      </c>
      <c r="K3" s="4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4" t="s">
        <v>57</v>
      </c>
      <c r="Q3" s="4" t="s">
        <v>58</v>
      </c>
      <c r="R3" s="4" t="s">
        <v>59</v>
      </c>
      <c r="S3" s="4" t="s">
        <v>60</v>
      </c>
      <c r="T3" s="4" t="s">
        <v>61</v>
      </c>
      <c r="U3" s="4" t="s">
        <v>62</v>
      </c>
      <c r="V3" s="4" t="s">
        <v>63</v>
      </c>
      <c r="W3" s="4" t="s">
        <v>64</v>
      </c>
      <c r="X3" s="4" t="s">
        <v>65</v>
      </c>
      <c r="Y3" s="4" t="s">
        <v>66</v>
      </c>
      <c r="Z3" s="4" t="s">
        <v>93</v>
      </c>
      <c r="AA3" s="4" t="s">
        <v>92</v>
      </c>
      <c r="AB3" s="4" t="s">
        <v>95</v>
      </c>
      <c r="AC3" s="4" t="s">
        <v>90</v>
      </c>
      <c r="AD3" s="4" t="s">
        <v>89</v>
      </c>
      <c r="AE3" s="4" t="s">
        <v>86</v>
      </c>
      <c r="AF3" s="4" t="s">
        <v>85</v>
      </c>
      <c r="AG3" s="4" t="s">
        <v>2</v>
      </c>
      <c r="AH3" s="4" t="s">
        <v>3</v>
      </c>
      <c r="AI3" s="4" t="s">
        <v>4</v>
      </c>
      <c r="AJ3" s="4" t="s">
        <v>5</v>
      </c>
      <c r="AK3" s="4" t="s">
        <v>6</v>
      </c>
      <c r="AL3" s="4" t="s">
        <v>7</v>
      </c>
      <c r="AM3" s="4" t="s">
        <v>83</v>
      </c>
      <c r="AN3" s="4" t="s">
        <v>97</v>
      </c>
      <c r="AO3" s="4" t="s">
        <v>98</v>
      </c>
      <c r="AP3" s="4" t="s">
        <v>102</v>
      </c>
      <c r="AQ3" s="4" t="s">
        <v>101</v>
      </c>
    </row>
    <row r="4" spans="1:43" ht="113.25" x14ac:dyDescent="0.25">
      <c r="A4" s="3" t="s">
        <v>79</v>
      </c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3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91</v>
      </c>
      <c r="AB4" s="3" t="s">
        <v>94</v>
      </c>
      <c r="AC4" s="3" t="s">
        <v>88</v>
      </c>
      <c r="AD4" s="3" t="s">
        <v>87</v>
      </c>
      <c r="AE4" s="3" t="s">
        <v>34</v>
      </c>
      <c r="AF4" s="3" t="s">
        <v>84</v>
      </c>
      <c r="AG4" s="3" t="s">
        <v>35</v>
      </c>
      <c r="AH4" s="3" t="s">
        <v>36</v>
      </c>
      <c r="AI4" s="3" t="s">
        <v>37</v>
      </c>
      <c r="AJ4" s="3" t="s">
        <v>38</v>
      </c>
      <c r="AK4" s="3" t="s">
        <v>39</v>
      </c>
      <c r="AL4" s="3" t="s">
        <v>40</v>
      </c>
      <c r="AM4" s="3" t="s">
        <v>82</v>
      </c>
      <c r="AN4" s="3" t="s">
        <v>96</v>
      </c>
      <c r="AO4" s="3" t="s">
        <v>99</v>
      </c>
      <c r="AP4" s="3" t="s">
        <v>33</v>
      </c>
      <c r="AQ4" s="3" t="s">
        <v>100</v>
      </c>
    </row>
    <row r="5" spans="1:43" x14ac:dyDescent="0.25">
      <c r="A5" t="s">
        <v>41</v>
      </c>
      <c r="B5" t="s">
        <v>42</v>
      </c>
      <c r="C5" t="s">
        <v>42</v>
      </c>
      <c r="D5" t="s">
        <v>42</v>
      </c>
      <c r="E5" t="s">
        <v>42</v>
      </c>
      <c r="F5" t="s">
        <v>42</v>
      </c>
      <c r="G5" t="s">
        <v>42</v>
      </c>
      <c r="H5" t="s">
        <v>42</v>
      </c>
      <c r="I5" t="s">
        <v>42</v>
      </c>
      <c r="J5" t="s">
        <v>42</v>
      </c>
      <c r="K5" t="s">
        <v>42</v>
      </c>
      <c r="L5" t="s">
        <v>42</v>
      </c>
      <c r="M5" t="s">
        <v>42</v>
      </c>
      <c r="N5" t="s">
        <v>42</v>
      </c>
      <c r="O5" t="s">
        <v>42</v>
      </c>
      <c r="P5" t="s">
        <v>42</v>
      </c>
      <c r="Q5" t="s">
        <v>42</v>
      </c>
      <c r="R5" t="s">
        <v>42</v>
      </c>
      <c r="S5" t="s">
        <v>42</v>
      </c>
      <c r="T5" t="s">
        <v>42</v>
      </c>
      <c r="U5" t="s">
        <v>42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t="s">
        <v>42</v>
      </c>
      <c r="AH5" t="s">
        <v>42</v>
      </c>
      <c r="AI5" t="s">
        <v>42</v>
      </c>
      <c r="AJ5" t="s">
        <v>42</v>
      </c>
      <c r="AK5" t="s">
        <v>42</v>
      </c>
      <c r="AL5" t="s">
        <v>42</v>
      </c>
      <c r="AM5" t="s">
        <v>42</v>
      </c>
      <c r="AN5" t="s">
        <v>42</v>
      </c>
      <c r="AO5" t="s">
        <v>42</v>
      </c>
      <c r="AP5" t="s">
        <v>42</v>
      </c>
      <c r="AQ5" t="s">
        <v>42</v>
      </c>
    </row>
    <row r="6" spans="1:43" x14ac:dyDescent="0.25">
      <c r="A6" s="7" cm="1">
        <f t="array" ref="A6:B281">_xll.BDH(B$4,B$5,$B1,$B2,"Dir=V","Per="&amp;$E$1,"Days=A","Dts=S")</f>
        <v>37771</v>
      </c>
      <c r="B6">
        <v>1.0979000000000001</v>
      </c>
      <c r="C6" t="str" cm="1">
        <f t="array" ref="C6:C281">_xll.BDH(C$4,C$5,$B1,$B2,"Dir=V","Per="&amp;$E$1,"Days=A","Dts=H")</f>
        <v>#N/A N/A</v>
      </c>
      <c r="D6" cm="1">
        <f t="array" ref="D6:D281">_xll.BDH(D$4,D$5,$B1,$B2,"Dir=V","Per="&amp;$E$1,"Days=A","Dts=H")</f>
        <v>2.2749999999999999</v>
      </c>
      <c r="E6" cm="1">
        <f t="array" ref="E6:E281">_xll.BDH(E$4,E$5,$B1,$B2,"Dir=V","Per="&amp;$E$1,"Days=A","Dts=H")</f>
        <v>8.9999999999999993E-3</v>
      </c>
      <c r="F6" cm="1">
        <f t="array" ref="F6:F281">_xll.BDH(F$4,F$5,$B1,$B2,"Dir=V","Per="&amp;$E$1,"Days=A","Dts=H")</f>
        <v>1.3217000000000001</v>
      </c>
      <c r="G6" cm="1">
        <f t="array" ref="G6:G281">_xll.BDH(G$4,G$5,$B1,$B2,"Dir=V","Per="&amp;$E$1,"Days=A","Dts=H")</f>
        <v>3.45</v>
      </c>
      <c r="H6" cm="1">
        <f t="array" ref="H6:H281">_xll.BDH(H$4,H$5,$B1,$B2,"Dir=V","Per="&amp;$E$1,"Days=A","Dts=H")</f>
        <v>2.1160000000000001</v>
      </c>
      <c r="I6" cm="1">
        <f t="array" ref="I6:I281">_xll.BDH(I$4,I$5,$B1,$B2,"Dir=V","Per="&amp;$E$1,"Days=A","Dts=H")</f>
        <v>0.04</v>
      </c>
      <c r="J6" cm="1">
        <f t="array" ref="J6:J281">_xll.BDH(J$4,J$5,$B1,$B2,"Dir=V","Per="&amp;$E$1,"Days=A","Dts=H")</f>
        <v>3.3698999999999999</v>
      </c>
      <c r="K6" cm="1">
        <f t="array" ref="K6:K281">_xll.BDH(K$4,K$5,$B1,$B2,"Dir=V","Per="&amp;$E$1,"Days=A","Dts=H")</f>
        <v>4.0659999999999998</v>
      </c>
      <c r="L6" cm="1">
        <f t="array" ref="L6:L281">_xll.BDH(L$4,L$5,$B1,$B2,"Dir=V","Per="&amp;$E$1,"Days=A","Dts=H")</f>
        <v>3.7210000000000001</v>
      </c>
      <c r="M6" cm="1">
        <f t="array" ref="M6:M281">_xll.BDH(M$4,M$5,$B1,$B2,"Dir=V","Per="&amp;$E$1,"Days=A","Dts=H")</f>
        <v>0.53</v>
      </c>
      <c r="N6" cm="1">
        <f t="array" ref="N6:N281">_xll.BDH(N$4,N$5,$B1,$B2,"Dir=V","Per="&amp;$E$1,"Days=A","Dts=H")</f>
        <v>19.47</v>
      </c>
      <c r="O6" cm="1">
        <f t="array" ref="O6:O281">_xll.BDH(O$4,O$5,$B1,$B2,"Dir=V","Per="&amp;$E$1,"Days=A","Dts=H")</f>
        <v>945</v>
      </c>
      <c r="P6" cm="1">
        <f t="array" ref="P6:P281">_xll.BDH(P$4,P$5,$B1,$B2,"Dir=V","Per="&amp;$E$1,"Days=A","Dts=H")</f>
        <v>93.29</v>
      </c>
      <c r="Q6" cm="1">
        <f t="array" ref="Q6:Q281">_xll.BDH(Q$4,Q$5,$B1,$B2,"Dir=V","Per="&amp;$E$1,"Days=A","Dts=H")</f>
        <v>103.6392</v>
      </c>
      <c r="R6" cm="1">
        <f t="array" ref="R6:R281">_xll.BDH(R$4,R$5,$B1,$B2,"Dir=V","Per="&amp;$E$1,"Days=A","Dts=H")</f>
        <v>2.9674999999999998</v>
      </c>
      <c r="S6" cm="1">
        <f t="array" ref="S6:S281">_xll.BDH(S$4,S$5,$B1,$B2,"Dir=V","Per="&amp;$E$1,"Days=A","Dts=H")</f>
        <v>29.56</v>
      </c>
      <c r="T6" cm="1">
        <f t="array" ref="T6:T281">_xll.BDH(T$4,T$5,$B1,$B2,"Dir=V","Per="&amp;$E$1,"Days=A","Dts=H")</f>
        <v>26.32</v>
      </c>
      <c r="U6" cm="1">
        <f t="array" ref="U6:U281">_xll.BDH(U$4,U$5,$B1,$B2,"Dir=V","Per="&amp;$E$1,"Days=A","Dts=H")</f>
        <v>238.04</v>
      </c>
      <c r="V6" cm="1">
        <f t="array" ref="V6:V281">_xll.BDH(V$4,V$5,$B1,$B2,"Dir=V","Per="&amp;$E$1,"Days=A","Dts=H")</f>
        <v>206.54</v>
      </c>
      <c r="W6" cm="1">
        <f t="array" ref="W6:W281">_xll.BDH(W$4,W$5,$B1,$B2,"Dir=V","Per="&amp;$E$1,"Days=A","Dts=H")</f>
        <v>857.65</v>
      </c>
      <c r="X6" cm="1">
        <f t="array" ref="X6:X281">_xll.BDH(X$4,X$5,$B1,$B2,"Dir=V","Per="&amp;$E$1,"Days=A","Dts=H")</f>
        <v>315.44</v>
      </c>
      <c r="Y6" cm="1">
        <f t="array" ref="Y6:Y281">_xll.BDH(Y$4,Y$5,$B1,$B2,"Dir=V","Per="&amp;$E$1,"Days=A","Dts=H")</f>
        <v>13421.6</v>
      </c>
      <c r="Z6" t="str" cm="1">
        <f t="array" ref="Z6:Z281">_xll.BDH(Z$4,Z$5,$B1,$B2,"Dir=V","Per="&amp;$E$1,"Days=A","Dts=H")</f>
        <v>#N/A N/A</v>
      </c>
      <c r="AA6" t="str" cm="1">
        <f t="array" ref="AA6:AA281">_xll.BDH(AA$4,AA$5,$B1,$B2,"Dir=V","Per="&amp;$E$1,"Days=A","Dts=H")</f>
        <v>#N/A N/A</v>
      </c>
      <c r="AB6" t="str" cm="1">
        <f t="array" ref="AB6:AB281">_xll.BDH(AB$4,AB$5,$B1,$B2,"Dir=V","Per="&amp;$E$1,"Days=A","Dts=H")</f>
        <v>#N/A N/A</v>
      </c>
      <c r="AC6" cm="1">
        <f t="array" ref="AC6:AC281">_xll.BDH(AC$4,AC$5,$B1,$B2,"Dir=V","Per="&amp;$E$1,"Days=A","Dts=H")</f>
        <v>22.372900000000001</v>
      </c>
      <c r="AD6" cm="1">
        <f t="array" ref="AD6:AD281">_xll.BDH(AD$4,AD$5,$B1,$B2,"Dir=V","Per="&amp;$E$1,"Days=A","Dts=H")</f>
        <v>22.479500000000002</v>
      </c>
      <c r="AE6" cm="1">
        <f t="array" ref="AE6:AE281">_xll.BDH(AE$4,AE$5,$B1,$B2,"Dir=V","Per="&amp;$E$1,"Days=A","Dts=H")</f>
        <v>23.5152</v>
      </c>
      <c r="AF6" cm="1">
        <f t="array" ref="AF6:AF281">_xll.BDH(AF$4,AF$5,$B1,$B2,"Dir=V","Per="&amp;$E$1,"Days=A","Dts=H")</f>
        <v>26.18</v>
      </c>
      <c r="AG6" cm="1">
        <f t="array" ref="AG6:AG281">_xll.BDH(AG$4,AG$5,$B1,$B2,"Dir=V","Per="&amp;$E$1,"Days=A","Dts=H")</f>
        <v>1.1783999999999999</v>
      </c>
      <c r="AH6" cm="1">
        <f t="array" ref="AH6:AH281">_xll.BDH(AH$4,AH$5,$B1,$B2,"Dir=V","Per="&amp;$E$1,"Days=A","Dts=H")</f>
        <v>119.3</v>
      </c>
      <c r="AI6" cm="1">
        <f t="array" ref="AI6:AI281">_xll.BDH(AI$4,AI$5,$B1,$B2,"Dir=V","Per="&amp;$E$1,"Days=A","Dts=H")</f>
        <v>1.6364000000000001</v>
      </c>
      <c r="AJ6" cm="1">
        <f t="array" ref="AJ6:AJ281">_xll.BDH(AJ$4,AJ$5,$B1,$B2,"Dir=V","Per="&amp;$E$1,"Days=A","Dts=H")</f>
        <v>1.3666</v>
      </c>
      <c r="AK6" cm="1">
        <f t="array" ref="AK6:AK281">_xll.BDH(AK$4,AK$5,$B1,$B2,"Dir=V","Per="&amp;$E$1,"Days=A","Dts=H")</f>
        <v>7.7404000000000002</v>
      </c>
      <c r="AL6" cm="1">
        <f t="array" ref="AL6:AL281">_xll.BDH(AL$4,AL$5,$B1,$B2,"Dir=V","Per="&amp;$E$1,"Days=A","Dts=H")</f>
        <v>1.2979000000000001</v>
      </c>
      <c r="AM6" cm="1">
        <f t="array" ref="AM6:AM281">_xll.BDH(AM$4,AM$5,$B1,$B2,"Dir=V","Per="&amp;$E$1,"Days=A","Dts=H")</f>
        <v>97.54</v>
      </c>
      <c r="AN6" cm="1">
        <f t="array" ref="AN6:AN281">_xll.BDH(AN$4,AN$5,$B1,$B2,"Dir=V","Per="&amp;$E$1,"Days=A","Dts=H")</f>
        <v>92.85</v>
      </c>
      <c r="AO6" cm="1">
        <f t="array" ref="AO6:AO281">_xll.BDH(AO$4,AO$5,$B1,$B2,"Dir=V","Per="&amp;$E$1,"Days=A","Dts=H")</f>
        <v>90.93</v>
      </c>
      <c r="AP6" cm="1">
        <f t="array" ref="AP6:AP281">_xll.BDH(AP$4,AP$5,$B1,$B2,"Dir=V","Per="&amp;$E$1,"Days=A","Dts=H")</f>
        <v>70.16</v>
      </c>
      <c r="AQ6" cm="1">
        <f t="array" ref="AQ6:AQ281">_xll.BDH(AQ$4,AQ$5,$B1,$B2,"Dir=V","Per="&amp;$E$1,"Days=A","Dts=H")</f>
        <v>70.400000000000006</v>
      </c>
    </row>
    <row r="7" spans="1:43" x14ac:dyDescent="0.25">
      <c r="A7" s="7">
        <v>37802</v>
      </c>
      <c r="B7">
        <v>0.84550000000000003</v>
      </c>
      <c r="C7" t="str">
        <v>#N/A N/A</v>
      </c>
      <c r="D7">
        <v>2.09</v>
      </c>
      <c r="E7">
        <v>7.0000000000000001E-3</v>
      </c>
      <c r="F7">
        <v>1.2999000000000001</v>
      </c>
      <c r="G7">
        <v>3.4849999999999999</v>
      </c>
      <c r="H7">
        <v>2.125</v>
      </c>
      <c r="I7">
        <v>7.3999999999999996E-2</v>
      </c>
      <c r="J7">
        <v>3.5133000000000001</v>
      </c>
      <c r="K7">
        <v>4.157</v>
      </c>
      <c r="L7">
        <v>3.802</v>
      </c>
      <c r="M7">
        <v>0.83599999999999997</v>
      </c>
      <c r="N7">
        <v>19.52</v>
      </c>
      <c r="O7">
        <v>885.83299999999997</v>
      </c>
      <c r="P7">
        <v>94.73</v>
      </c>
      <c r="Q7">
        <v>104.0637</v>
      </c>
      <c r="R7">
        <v>2.8439999999999999</v>
      </c>
      <c r="S7">
        <v>30.19</v>
      </c>
      <c r="T7">
        <v>28.33</v>
      </c>
      <c r="U7">
        <v>234.58</v>
      </c>
      <c r="V7">
        <v>206.36</v>
      </c>
      <c r="W7">
        <v>871.07</v>
      </c>
      <c r="X7">
        <v>332.68</v>
      </c>
      <c r="Y7">
        <v>12972.58</v>
      </c>
      <c r="Z7" t="str">
        <v>#N/A N/A</v>
      </c>
      <c r="AA7" t="str">
        <v>#N/A N/A</v>
      </c>
      <c r="AB7" t="str">
        <v>#N/A N/A</v>
      </c>
      <c r="AC7">
        <v>22.278600000000001</v>
      </c>
      <c r="AD7">
        <v>21.966100000000001</v>
      </c>
      <c r="AE7">
        <v>21.9938</v>
      </c>
      <c r="AF7">
        <v>25.68</v>
      </c>
      <c r="AG7">
        <v>1.1512</v>
      </c>
      <c r="AH7">
        <v>119.8</v>
      </c>
      <c r="AI7">
        <v>1.6546000000000001</v>
      </c>
      <c r="AJ7">
        <v>1.3467</v>
      </c>
      <c r="AK7">
        <v>7.9885999999999999</v>
      </c>
      <c r="AL7">
        <v>1.3509</v>
      </c>
      <c r="AM7">
        <v>92.93</v>
      </c>
      <c r="AN7">
        <v>88.91</v>
      </c>
      <c r="AO7">
        <v>91.43</v>
      </c>
      <c r="AP7">
        <v>70.3</v>
      </c>
      <c r="AQ7">
        <v>69.19</v>
      </c>
    </row>
    <row r="8" spans="1:43" x14ac:dyDescent="0.25">
      <c r="A8" s="7">
        <v>37833</v>
      </c>
      <c r="B8">
        <v>0.9375</v>
      </c>
      <c r="C8" t="str">
        <v>#N/A N/A</v>
      </c>
      <c r="D8">
        <v>2.1320000000000001</v>
      </c>
      <c r="E8">
        <v>3.0000000000000001E-3</v>
      </c>
      <c r="F8">
        <v>1.7398</v>
      </c>
      <c r="G8">
        <v>3.8180000000000001</v>
      </c>
      <c r="H8">
        <v>2.456</v>
      </c>
      <c r="I8">
        <v>7.0000000000000007E-2</v>
      </c>
      <c r="J8">
        <v>4.4055</v>
      </c>
      <c r="K8">
        <v>4.5229999999999997</v>
      </c>
      <c r="L8">
        <v>4.1900000000000004</v>
      </c>
      <c r="M8">
        <v>0.93500000000000005</v>
      </c>
      <c r="N8">
        <v>19.489999999999998</v>
      </c>
      <c r="O8">
        <v>866.66700000000003</v>
      </c>
      <c r="P8">
        <v>96.89</v>
      </c>
      <c r="Q8">
        <v>103.84869999999999</v>
      </c>
      <c r="R8">
        <v>2.9660000000000002</v>
      </c>
      <c r="S8">
        <v>30.54</v>
      </c>
      <c r="T8">
        <v>28.37</v>
      </c>
      <c r="U8">
        <v>231.97</v>
      </c>
      <c r="V8">
        <v>215.95</v>
      </c>
      <c r="W8">
        <v>887.78</v>
      </c>
      <c r="X8">
        <v>352.62</v>
      </c>
      <c r="Y8">
        <v>13571.73</v>
      </c>
      <c r="Z8" t="str">
        <v>#N/A N/A</v>
      </c>
      <c r="AA8" t="str">
        <v>#N/A N/A</v>
      </c>
      <c r="AB8" t="str">
        <v>#N/A N/A</v>
      </c>
      <c r="AC8">
        <v>21.643699999999999</v>
      </c>
      <c r="AD8">
        <v>21.658799999999999</v>
      </c>
      <c r="AE8">
        <v>21.267600000000002</v>
      </c>
      <c r="AF8">
        <v>24.21</v>
      </c>
      <c r="AG8">
        <v>1.1232</v>
      </c>
      <c r="AH8">
        <v>120.55</v>
      </c>
      <c r="AI8">
        <v>1.6108</v>
      </c>
      <c r="AJ8">
        <v>1.4043000000000001</v>
      </c>
      <c r="AK8">
        <v>8.2156000000000002</v>
      </c>
      <c r="AL8">
        <v>1.3709</v>
      </c>
      <c r="AM8">
        <v>101.79</v>
      </c>
      <c r="AN8">
        <v>94.79</v>
      </c>
      <c r="AO8">
        <v>90.63</v>
      </c>
      <c r="AP8">
        <v>69.44</v>
      </c>
      <c r="AQ8">
        <v>72.33</v>
      </c>
    </row>
    <row r="9" spans="1:43" x14ac:dyDescent="0.25">
      <c r="A9" s="7">
        <v>37862</v>
      </c>
      <c r="B9">
        <v>0.96809999999999996</v>
      </c>
      <c r="C9" t="str">
        <v>#N/A N/A</v>
      </c>
      <c r="D9">
        <v>2.169</v>
      </c>
      <c r="E9">
        <v>1.2E-2</v>
      </c>
      <c r="F9">
        <v>1.9679</v>
      </c>
      <c r="G9">
        <v>4.1669999999999998</v>
      </c>
      <c r="H9">
        <v>2.593</v>
      </c>
      <c r="I9">
        <v>0.19</v>
      </c>
      <c r="J9">
        <v>4.4635999999999996</v>
      </c>
      <c r="K9">
        <v>4.6050000000000004</v>
      </c>
      <c r="L9">
        <v>4.1970000000000001</v>
      </c>
      <c r="M9">
        <v>1.454</v>
      </c>
      <c r="N9">
        <v>18.63</v>
      </c>
      <c r="O9">
        <v>770.84799999999996</v>
      </c>
      <c r="P9">
        <v>98.1</v>
      </c>
      <c r="Q9">
        <v>105.05249999999999</v>
      </c>
      <c r="R9">
        <v>2.976</v>
      </c>
      <c r="S9">
        <v>31.57</v>
      </c>
      <c r="T9">
        <v>29.49</v>
      </c>
      <c r="U9">
        <v>237.5</v>
      </c>
      <c r="V9">
        <v>213.9</v>
      </c>
      <c r="W9">
        <v>905.32</v>
      </c>
      <c r="X9">
        <v>375.52</v>
      </c>
      <c r="Y9">
        <v>15174.49</v>
      </c>
      <c r="Z9" t="str">
        <v>#N/A N/A</v>
      </c>
      <c r="AA9" t="str">
        <v>#N/A N/A</v>
      </c>
      <c r="AB9" t="str">
        <v>#N/A N/A</v>
      </c>
      <c r="AC9">
        <v>20.573699999999999</v>
      </c>
      <c r="AD9">
        <v>19.270299999999999</v>
      </c>
      <c r="AE9">
        <v>18.9862</v>
      </c>
      <c r="AF9">
        <v>21.69</v>
      </c>
      <c r="AG9">
        <v>1.0984</v>
      </c>
      <c r="AH9">
        <v>116.92</v>
      </c>
      <c r="AI9">
        <v>1.5777000000000001</v>
      </c>
      <c r="AJ9">
        <v>1.3865000000000001</v>
      </c>
      <c r="AK9">
        <v>8.3506</v>
      </c>
      <c r="AL9">
        <v>1.3998999999999999</v>
      </c>
      <c r="AM9">
        <v>101.17</v>
      </c>
      <c r="AN9">
        <v>95.13</v>
      </c>
      <c r="AO9">
        <v>91.79</v>
      </c>
      <c r="AP9">
        <v>69.98</v>
      </c>
      <c r="AQ9">
        <v>71.22</v>
      </c>
    </row>
    <row r="10" spans="1:43" x14ac:dyDescent="0.25">
      <c r="A10" s="7">
        <v>37894</v>
      </c>
      <c r="B10">
        <v>0.93759999999999999</v>
      </c>
      <c r="C10" t="str">
        <v>#N/A N/A</v>
      </c>
      <c r="D10">
        <v>2.137</v>
      </c>
      <c r="E10">
        <v>1.2E-2</v>
      </c>
      <c r="F10">
        <v>1.4577</v>
      </c>
      <c r="G10">
        <v>4.0149999999999997</v>
      </c>
      <c r="H10">
        <v>2.2970000000000002</v>
      </c>
      <c r="I10">
        <v>0.185</v>
      </c>
      <c r="J10">
        <v>3.9376000000000002</v>
      </c>
      <c r="K10" s="2">
        <v>4.53</v>
      </c>
      <c r="L10">
        <v>3.9950000000000001</v>
      </c>
      <c r="M10">
        <v>1.3839999999999999</v>
      </c>
      <c r="N10">
        <v>22.72</v>
      </c>
      <c r="O10">
        <v>765.005</v>
      </c>
      <c r="P10">
        <v>92.85</v>
      </c>
      <c r="Q10">
        <v>105.03270000000001</v>
      </c>
      <c r="R10">
        <v>2.9</v>
      </c>
      <c r="S10">
        <v>29.2</v>
      </c>
      <c r="T10">
        <v>27.61</v>
      </c>
      <c r="U10">
        <v>250.82</v>
      </c>
      <c r="V10">
        <v>229.08</v>
      </c>
      <c r="W10">
        <v>909.64</v>
      </c>
      <c r="X10">
        <v>377.63</v>
      </c>
      <c r="Y10">
        <v>16010.67</v>
      </c>
      <c r="Z10" t="str">
        <v>#N/A N/A</v>
      </c>
      <c r="AA10" t="str">
        <v>#N/A N/A</v>
      </c>
      <c r="AB10" t="str">
        <v>#N/A N/A</v>
      </c>
      <c r="AC10">
        <v>19.7652</v>
      </c>
      <c r="AD10">
        <v>19.0702</v>
      </c>
      <c r="AE10">
        <v>18.059699999999999</v>
      </c>
      <c r="AF10">
        <v>19.71</v>
      </c>
      <c r="AG10">
        <v>1.1657</v>
      </c>
      <c r="AH10">
        <v>111.5</v>
      </c>
      <c r="AI10">
        <v>1.6617999999999999</v>
      </c>
      <c r="AJ10">
        <v>1.3521000000000001</v>
      </c>
      <c r="AK10">
        <v>7.7534999999999998</v>
      </c>
      <c r="AL10">
        <v>1.3191999999999999</v>
      </c>
      <c r="AM10">
        <v>110.69</v>
      </c>
      <c r="AN10">
        <v>99.81</v>
      </c>
      <c r="AO10">
        <v>94.6</v>
      </c>
      <c r="AP10">
        <v>71.510000000000005</v>
      </c>
      <c r="AQ10">
        <v>72.209999999999994</v>
      </c>
    </row>
    <row r="11" spans="1:43" x14ac:dyDescent="0.25">
      <c r="A11" s="7">
        <v>37925</v>
      </c>
      <c r="B11">
        <v>0.9476</v>
      </c>
      <c r="C11" t="str">
        <v>#N/A N/A</v>
      </c>
      <c r="D11">
        <v>2.1539999999999999</v>
      </c>
      <c r="E11">
        <v>4.0000000000000001E-3</v>
      </c>
      <c r="F11">
        <v>1.8174999999999999</v>
      </c>
      <c r="G11">
        <v>4.6020000000000003</v>
      </c>
      <c r="H11">
        <v>2.6859999999999999</v>
      </c>
      <c r="I11">
        <v>0.14499999999999999</v>
      </c>
      <c r="J11">
        <v>4.2927</v>
      </c>
      <c r="K11" s="2">
        <v>5.0049999999999999</v>
      </c>
      <c r="L11">
        <v>4.3310000000000004</v>
      </c>
      <c r="M11">
        <v>1.4590000000000001</v>
      </c>
      <c r="N11">
        <v>16.100000000000001</v>
      </c>
      <c r="O11">
        <v>634.70799999999997</v>
      </c>
      <c r="P11">
        <v>92.73</v>
      </c>
      <c r="Q11">
        <v>105.4126</v>
      </c>
      <c r="R11">
        <v>2.8675000000000002</v>
      </c>
      <c r="S11">
        <v>29.11</v>
      </c>
      <c r="T11">
        <v>27.7</v>
      </c>
      <c r="U11">
        <v>254.36</v>
      </c>
      <c r="V11">
        <v>246.28</v>
      </c>
      <c r="W11">
        <v>962.71</v>
      </c>
      <c r="X11">
        <v>409.11</v>
      </c>
      <c r="Y11">
        <v>17982.490000000002</v>
      </c>
      <c r="Z11" t="str">
        <v>#N/A N/A</v>
      </c>
      <c r="AA11" t="str">
        <v>#N/A N/A</v>
      </c>
      <c r="AB11" t="str">
        <v>#N/A N/A</v>
      </c>
      <c r="AC11">
        <v>18.6371</v>
      </c>
      <c r="AD11">
        <v>17.941800000000001</v>
      </c>
      <c r="AE11">
        <v>17.654</v>
      </c>
      <c r="AF11">
        <v>18.75</v>
      </c>
      <c r="AG11">
        <v>1.1593</v>
      </c>
      <c r="AH11">
        <v>109.94</v>
      </c>
      <c r="AI11">
        <v>1.6957</v>
      </c>
      <c r="AJ11">
        <v>1.3198000000000001</v>
      </c>
      <c r="AK11">
        <v>7.8338000000000001</v>
      </c>
      <c r="AL11">
        <v>1.3394999999999999</v>
      </c>
      <c r="AM11">
        <v>124.24</v>
      </c>
      <c r="AN11">
        <v>104.87</v>
      </c>
      <c r="AO11">
        <v>95</v>
      </c>
      <c r="AP11">
        <v>71.540000000000006</v>
      </c>
      <c r="AQ11">
        <v>73.739999999999995</v>
      </c>
    </row>
    <row r="12" spans="1:43" x14ac:dyDescent="0.25">
      <c r="A12" s="7">
        <v>37953</v>
      </c>
      <c r="B12">
        <v>0.92720000000000002</v>
      </c>
      <c r="C12" t="str">
        <v>#N/A N/A</v>
      </c>
      <c r="D12">
        <v>2.1640000000000001</v>
      </c>
      <c r="E12">
        <v>7.0000000000000001E-3</v>
      </c>
      <c r="F12">
        <v>2.0436999999999999</v>
      </c>
      <c r="G12">
        <v>4.5860000000000003</v>
      </c>
      <c r="H12">
        <v>2.8119999999999998</v>
      </c>
      <c r="I12">
        <v>0.14499999999999999</v>
      </c>
      <c r="J12">
        <v>4.3315999999999999</v>
      </c>
      <c r="K12" s="2">
        <v>5.0759999999999996</v>
      </c>
      <c r="L12">
        <v>4.4569999999999999</v>
      </c>
      <c r="M12">
        <v>1.294</v>
      </c>
      <c r="N12">
        <v>16.32</v>
      </c>
      <c r="O12">
        <v>505.815</v>
      </c>
      <c r="P12">
        <v>90.23</v>
      </c>
      <c r="Q12">
        <v>105.61750000000001</v>
      </c>
      <c r="R12">
        <v>2.9460000000000002</v>
      </c>
      <c r="S12">
        <v>30.41</v>
      </c>
      <c r="T12">
        <v>28.45</v>
      </c>
      <c r="U12">
        <v>256.64999999999998</v>
      </c>
      <c r="V12">
        <v>249.27</v>
      </c>
      <c r="W12">
        <v>976.02</v>
      </c>
      <c r="X12">
        <v>413.33</v>
      </c>
      <c r="Y12">
        <v>20183.97</v>
      </c>
      <c r="Z12" t="str">
        <v>#N/A N/A</v>
      </c>
      <c r="AA12" t="str">
        <v>#N/A N/A</v>
      </c>
      <c r="AB12" t="str">
        <v>#N/A N/A</v>
      </c>
      <c r="AC12">
        <v>16.859000000000002</v>
      </c>
      <c r="AD12">
        <v>16.380700000000001</v>
      </c>
      <c r="AE12">
        <v>16.025400000000001</v>
      </c>
      <c r="AF12">
        <v>17.25</v>
      </c>
      <c r="AG12">
        <v>1.1996</v>
      </c>
      <c r="AH12">
        <v>109.63</v>
      </c>
      <c r="AI12">
        <v>1.7222</v>
      </c>
      <c r="AJ12">
        <v>1.3008</v>
      </c>
      <c r="AK12">
        <v>7.5477999999999996</v>
      </c>
      <c r="AL12">
        <v>1.2909999999999999</v>
      </c>
      <c r="AM12">
        <v>125.05</v>
      </c>
      <c r="AN12">
        <v>98.58</v>
      </c>
      <c r="AO12">
        <v>95.94</v>
      </c>
      <c r="AP12">
        <v>71.61</v>
      </c>
      <c r="AQ12">
        <v>71.56</v>
      </c>
    </row>
    <row r="13" spans="1:43" x14ac:dyDescent="0.25">
      <c r="A13" s="7">
        <v>37986</v>
      </c>
      <c r="B13">
        <v>0.91710000000000003</v>
      </c>
      <c r="C13" t="str">
        <v>#N/A N/A</v>
      </c>
      <c r="D13">
        <v>2.1429999999999998</v>
      </c>
      <c r="E13">
        <v>3.0000000000000001E-3</v>
      </c>
      <c r="F13">
        <v>1.8189</v>
      </c>
      <c r="G13">
        <v>4.298</v>
      </c>
      <c r="H13">
        <v>2.605</v>
      </c>
      <c r="I13">
        <v>0.115</v>
      </c>
      <c r="J13">
        <v>4.2454999999999998</v>
      </c>
      <c r="K13" s="2">
        <v>4.8019999999999996</v>
      </c>
      <c r="L13">
        <v>4.2919999999999998</v>
      </c>
      <c r="M13">
        <v>1.36</v>
      </c>
      <c r="N13">
        <v>18.309999999999999</v>
      </c>
      <c r="O13">
        <v>403.92</v>
      </c>
      <c r="P13">
        <v>86.92</v>
      </c>
      <c r="Q13">
        <v>105.7757</v>
      </c>
      <c r="R13">
        <v>2.8915000000000002</v>
      </c>
      <c r="S13">
        <v>32.520000000000003</v>
      </c>
      <c r="T13">
        <v>30.17</v>
      </c>
      <c r="U13">
        <v>250.24</v>
      </c>
      <c r="V13">
        <v>276.69</v>
      </c>
      <c r="W13">
        <v>1036.32</v>
      </c>
      <c r="X13">
        <v>442.78</v>
      </c>
      <c r="Y13">
        <v>22236.39</v>
      </c>
      <c r="Z13" t="str">
        <v>#N/A N/A</v>
      </c>
      <c r="AA13" t="str">
        <v>#N/A N/A</v>
      </c>
      <c r="AB13" t="str">
        <v>#N/A N/A</v>
      </c>
      <c r="AC13">
        <v>16.832100000000001</v>
      </c>
      <c r="AD13">
        <v>16.248000000000001</v>
      </c>
      <c r="AE13">
        <v>15.8781</v>
      </c>
      <c r="AF13">
        <v>16.27</v>
      </c>
      <c r="AG13">
        <v>1.2595000000000001</v>
      </c>
      <c r="AH13">
        <v>107.22</v>
      </c>
      <c r="AI13">
        <v>1.7858000000000001</v>
      </c>
      <c r="AJ13">
        <v>1.2969999999999999</v>
      </c>
      <c r="AK13">
        <v>7.1891999999999996</v>
      </c>
      <c r="AL13">
        <v>1.2391000000000001</v>
      </c>
      <c r="AM13">
        <v>106.37</v>
      </c>
      <c r="AN13">
        <v>90.74</v>
      </c>
      <c r="AO13">
        <v>94.65</v>
      </c>
      <c r="AP13">
        <v>71.39</v>
      </c>
      <c r="AQ13">
        <v>70</v>
      </c>
    </row>
    <row r="14" spans="1:43" x14ac:dyDescent="0.25">
      <c r="A14" s="7">
        <v>38016</v>
      </c>
      <c r="B14">
        <v>0.90680000000000005</v>
      </c>
      <c r="C14" t="str">
        <v>#N/A N/A</v>
      </c>
      <c r="D14">
        <v>2.109</v>
      </c>
      <c r="E14">
        <v>3.0000000000000001E-3</v>
      </c>
      <c r="F14">
        <v>1.8189</v>
      </c>
      <c r="G14">
        <v>4.4119999999999999</v>
      </c>
      <c r="H14">
        <v>2.524</v>
      </c>
      <c r="I14">
        <v>7.0000000000000007E-2</v>
      </c>
      <c r="J14">
        <v>4.1318999999999999</v>
      </c>
      <c r="K14" s="2">
        <v>4.9000000000000004</v>
      </c>
      <c r="L14">
        <v>4.24</v>
      </c>
      <c r="M14">
        <v>1.3120000000000001</v>
      </c>
      <c r="N14">
        <v>16.63</v>
      </c>
      <c r="O14">
        <v>492.89400000000001</v>
      </c>
      <c r="P14">
        <v>87.2</v>
      </c>
      <c r="Q14">
        <v>104.496</v>
      </c>
      <c r="R14">
        <v>2.9344999999999999</v>
      </c>
      <c r="S14">
        <v>33.049999999999997</v>
      </c>
      <c r="T14">
        <v>29.18</v>
      </c>
      <c r="U14">
        <v>268.94</v>
      </c>
      <c r="V14">
        <v>291.79000000000002</v>
      </c>
      <c r="W14">
        <v>1052.29</v>
      </c>
      <c r="X14">
        <v>457.19</v>
      </c>
      <c r="Y14">
        <v>21851.439999999999</v>
      </c>
      <c r="Z14" t="str">
        <v>#N/A N/A</v>
      </c>
      <c r="AA14" t="str">
        <v>#N/A N/A</v>
      </c>
      <c r="AB14" t="str">
        <v>#N/A N/A</v>
      </c>
      <c r="AC14">
        <v>16.270600000000002</v>
      </c>
      <c r="AD14">
        <v>15.828900000000001</v>
      </c>
      <c r="AE14">
        <v>15.7509</v>
      </c>
      <c r="AF14">
        <v>16.22</v>
      </c>
      <c r="AG14">
        <v>1.2478</v>
      </c>
      <c r="AH14">
        <v>105.71</v>
      </c>
      <c r="AI14">
        <v>1.8238000000000001</v>
      </c>
      <c r="AJ14">
        <v>1.3251999999999999</v>
      </c>
      <c r="AK14">
        <v>7.3818999999999999</v>
      </c>
      <c r="AL14">
        <v>1.2565</v>
      </c>
      <c r="AM14">
        <v>101.78</v>
      </c>
      <c r="AN14">
        <v>89.48</v>
      </c>
      <c r="AO14">
        <v>96.37</v>
      </c>
      <c r="AP14">
        <v>72.760000000000005</v>
      </c>
      <c r="AQ14">
        <v>69.2</v>
      </c>
    </row>
    <row r="15" spans="1:43" x14ac:dyDescent="0.25">
      <c r="A15" s="7">
        <v>38044</v>
      </c>
      <c r="B15">
        <v>0.93740000000000001</v>
      </c>
      <c r="C15" t="str">
        <v>#N/A N/A</v>
      </c>
      <c r="D15">
        <v>2.073</v>
      </c>
      <c r="E15">
        <v>6.0000000000000001E-3</v>
      </c>
      <c r="F15">
        <v>1.641</v>
      </c>
      <c r="G15">
        <v>4.274</v>
      </c>
      <c r="H15">
        <v>2.2149999999999999</v>
      </c>
      <c r="I15">
        <v>5.5E-2</v>
      </c>
      <c r="J15">
        <v>3.9710999999999999</v>
      </c>
      <c r="K15" s="2">
        <v>4.7640000000000002</v>
      </c>
      <c r="L15">
        <v>4.0510000000000002</v>
      </c>
      <c r="M15">
        <v>1.2250000000000001</v>
      </c>
      <c r="N15">
        <v>14.55</v>
      </c>
      <c r="O15">
        <v>601.19299999999998</v>
      </c>
      <c r="P15">
        <v>87.31</v>
      </c>
      <c r="Q15">
        <v>104.7886</v>
      </c>
      <c r="R15">
        <v>2.9058999999999999</v>
      </c>
      <c r="S15">
        <v>36.159999999999997</v>
      </c>
      <c r="T15">
        <v>32.229999999999997</v>
      </c>
      <c r="U15">
        <v>283.68</v>
      </c>
      <c r="V15">
        <v>316.06</v>
      </c>
      <c r="W15">
        <v>1068.6500000000001</v>
      </c>
      <c r="X15">
        <v>477.73</v>
      </c>
      <c r="Y15">
        <v>21755.02</v>
      </c>
      <c r="Z15" t="str">
        <v>#N/A N/A</v>
      </c>
      <c r="AA15" t="str">
        <v>#N/A N/A</v>
      </c>
      <c r="AB15" t="str">
        <v>#N/A N/A</v>
      </c>
      <c r="AC15">
        <v>15.8207</v>
      </c>
      <c r="AD15">
        <v>15.8733</v>
      </c>
      <c r="AE15">
        <v>15.804</v>
      </c>
      <c r="AF15">
        <v>16.239999999999998</v>
      </c>
      <c r="AG15">
        <v>1.2493000000000001</v>
      </c>
      <c r="AH15">
        <v>109.11</v>
      </c>
      <c r="AI15">
        <v>1.8685</v>
      </c>
      <c r="AJ15">
        <v>1.3343</v>
      </c>
      <c r="AK15">
        <v>7.3897000000000004</v>
      </c>
      <c r="AL15">
        <v>1.2623</v>
      </c>
      <c r="AM15">
        <v>102.25</v>
      </c>
      <c r="AN15">
        <v>86.27</v>
      </c>
      <c r="AO15">
        <v>97.86</v>
      </c>
      <c r="AP15">
        <v>73.459999999999994</v>
      </c>
      <c r="AQ15">
        <v>69.81</v>
      </c>
    </row>
    <row r="16" spans="1:43" x14ac:dyDescent="0.25">
      <c r="A16" s="7">
        <v>38077</v>
      </c>
      <c r="B16">
        <v>0.9375</v>
      </c>
      <c r="C16" t="str">
        <v>#N/A N/A</v>
      </c>
      <c r="D16">
        <v>1.9930000000000001</v>
      </c>
      <c r="E16">
        <v>6.0000000000000001E-3</v>
      </c>
      <c r="F16">
        <v>1.5718000000000001</v>
      </c>
      <c r="G16">
        <v>4.4160000000000004</v>
      </c>
      <c r="H16">
        <v>2.1339999999999999</v>
      </c>
      <c r="I16">
        <v>0.12</v>
      </c>
      <c r="J16">
        <v>3.8348</v>
      </c>
      <c r="K16" s="2">
        <v>4.7510000000000003</v>
      </c>
      <c r="L16">
        <v>3.931</v>
      </c>
      <c r="M16">
        <v>1.44</v>
      </c>
      <c r="N16">
        <v>16.739999999999998</v>
      </c>
      <c r="O16">
        <v>573.42399999999998</v>
      </c>
      <c r="P16">
        <v>87.61</v>
      </c>
      <c r="Q16">
        <v>104.89490000000001</v>
      </c>
      <c r="R16">
        <v>2.8953000000000002</v>
      </c>
      <c r="S16">
        <v>35.76</v>
      </c>
      <c r="T16">
        <v>31.51</v>
      </c>
      <c r="U16">
        <v>286.39</v>
      </c>
      <c r="V16">
        <v>327.01</v>
      </c>
      <c r="W16">
        <v>1059.1600000000001</v>
      </c>
      <c r="X16">
        <v>482.06</v>
      </c>
      <c r="Y16">
        <v>22142.26</v>
      </c>
      <c r="Z16" t="str">
        <v>#N/A N/A</v>
      </c>
      <c r="AA16" t="str">
        <v>#N/A N/A</v>
      </c>
      <c r="AB16" t="str">
        <v>#N/A N/A</v>
      </c>
      <c r="AC16">
        <v>16.067299999999999</v>
      </c>
      <c r="AD16">
        <v>15.588200000000001</v>
      </c>
      <c r="AE16">
        <v>15.24</v>
      </c>
      <c r="AF16">
        <v>16.02</v>
      </c>
      <c r="AG16">
        <v>1.2316</v>
      </c>
      <c r="AH16">
        <v>104.23</v>
      </c>
      <c r="AI16">
        <v>1.8462000000000001</v>
      </c>
      <c r="AJ16">
        <v>1.3092999999999999</v>
      </c>
      <c r="AK16">
        <v>7.5364000000000004</v>
      </c>
      <c r="AL16">
        <v>1.2659</v>
      </c>
      <c r="AM16">
        <v>128.07</v>
      </c>
      <c r="AN16">
        <v>101.3</v>
      </c>
      <c r="AO16">
        <v>98.51</v>
      </c>
      <c r="AP16">
        <v>74.31</v>
      </c>
      <c r="AQ16">
        <v>78.599999999999994</v>
      </c>
    </row>
    <row r="17" spans="1:43" x14ac:dyDescent="0.25">
      <c r="A17" s="7">
        <v>38107</v>
      </c>
      <c r="B17">
        <v>0.95779999999999998</v>
      </c>
      <c r="C17" t="str">
        <v>#N/A N/A</v>
      </c>
      <c r="D17">
        <v>2.0870000000000002</v>
      </c>
      <c r="E17">
        <v>8.0000000000000002E-3</v>
      </c>
      <c r="F17">
        <v>2.3144999999999998</v>
      </c>
      <c r="G17">
        <v>4.5739999999999998</v>
      </c>
      <c r="H17">
        <v>2.4390000000000001</v>
      </c>
      <c r="I17">
        <v>0.14000000000000001</v>
      </c>
      <c r="J17">
        <v>4.5053000000000001</v>
      </c>
      <c r="K17" s="2">
        <v>4.9889999999999999</v>
      </c>
      <c r="L17">
        <v>4.1749999999999998</v>
      </c>
      <c r="M17">
        <v>1.53</v>
      </c>
      <c r="N17">
        <v>17.190000000000001</v>
      </c>
      <c r="O17">
        <v>742.28399999999999</v>
      </c>
      <c r="P17">
        <v>90.48</v>
      </c>
      <c r="Q17">
        <v>105.28530000000001</v>
      </c>
      <c r="R17">
        <v>2.9329999999999998</v>
      </c>
      <c r="S17">
        <v>37.380000000000003</v>
      </c>
      <c r="T17">
        <v>34.479999999999997</v>
      </c>
      <c r="U17">
        <v>292.74</v>
      </c>
      <c r="V17">
        <v>315.88</v>
      </c>
      <c r="W17">
        <v>1035.6600000000001</v>
      </c>
      <c r="X17">
        <v>441.3</v>
      </c>
      <c r="Y17">
        <v>19607.23</v>
      </c>
      <c r="Z17" t="str">
        <v>#N/A N/A</v>
      </c>
      <c r="AA17" t="str">
        <v>#N/A N/A</v>
      </c>
      <c r="AB17" t="str">
        <v>#N/A N/A</v>
      </c>
      <c r="AC17">
        <v>17.407499999999999</v>
      </c>
      <c r="AD17">
        <v>16.6206</v>
      </c>
      <c r="AE17">
        <v>15.8467</v>
      </c>
      <c r="AF17">
        <v>15.74</v>
      </c>
      <c r="AG17">
        <v>1.198</v>
      </c>
      <c r="AH17">
        <v>110.52</v>
      </c>
      <c r="AI17">
        <v>1.7781</v>
      </c>
      <c r="AJ17">
        <v>1.3722000000000001</v>
      </c>
      <c r="AK17">
        <v>7.6445999999999996</v>
      </c>
      <c r="AL17">
        <v>1.2956000000000001</v>
      </c>
      <c r="AM17">
        <v>117.68</v>
      </c>
      <c r="AN17">
        <v>95.79</v>
      </c>
      <c r="AO17">
        <v>99.24</v>
      </c>
      <c r="AP17">
        <v>74.73</v>
      </c>
      <c r="AQ17">
        <v>75.36</v>
      </c>
    </row>
    <row r="18" spans="1:43" x14ac:dyDescent="0.25">
      <c r="A18" s="7">
        <v>38138</v>
      </c>
      <c r="B18">
        <v>1.0599000000000001</v>
      </c>
      <c r="C18" t="str">
        <v>#N/A N/A</v>
      </c>
      <c r="D18">
        <v>2.1080000000000001</v>
      </c>
      <c r="E18">
        <v>4.0000000000000001E-3</v>
      </c>
      <c r="F18">
        <v>2.5323000000000002</v>
      </c>
      <c r="G18">
        <v>4.9269999999999996</v>
      </c>
      <c r="H18">
        <v>2.5779999999999998</v>
      </c>
      <c r="I18">
        <v>0.14000000000000001</v>
      </c>
      <c r="J18">
        <v>4.6467999999999998</v>
      </c>
      <c r="K18" s="2">
        <v>5.157</v>
      </c>
      <c r="L18">
        <v>4.3739999999999997</v>
      </c>
      <c r="M18">
        <v>1.5189999999999999</v>
      </c>
      <c r="N18">
        <v>15.5</v>
      </c>
      <c r="O18">
        <v>805.41899999999998</v>
      </c>
      <c r="P18">
        <v>88.9</v>
      </c>
      <c r="Q18">
        <v>106.9179</v>
      </c>
      <c r="R18">
        <v>3.1890000000000001</v>
      </c>
      <c r="S18">
        <v>39.880000000000003</v>
      </c>
      <c r="T18">
        <v>36.58</v>
      </c>
      <c r="U18">
        <v>277.72000000000003</v>
      </c>
      <c r="V18">
        <v>323.91000000000003</v>
      </c>
      <c r="W18">
        <v>1042.6300000000001</v>
      </c>
      <c r="X18">
        <v>431.26</v>
      </c>
      <c r="Y18">
        <v>19544.669999999998</v>
      </c>
      <c r="Z18" t="str">
        <v>#N/A N/A</v>
      </c>
      <c r="AA18" t="str">
        <v>#N/A N/A</v>
      </c>
      <c r="AB18" t="str">
        <v>#N/A N/A</v>
      </c>
      <c r="AC18">
        <v>20.751300000000001</v>
      </c>
      <c r="AD18">
        <v>19.9253</v>
      </c>
      <c r="AE18">
        <v>18.816500000000001</v>
      </c>
      <c r="AF18">
        <v>15.81</v>
      </c>
      <c r="AG18">
        <v>1.2188000000000001</v>
      </c>
      <c r="AH18">
        <v>109.52</v>
      </c>
      <c r="AI18">
        <v>1.8323</v>
      </c>
      <c r="AJ18">
        <v>1.3624000000000001</v>
      </c>
      <c r="AK18">
        <v>7.4663000000000004</v>
      </c>
      <c r="AL18">
        <v>1.2541</v>
      </c>
      <c r="AM18">
        <v>125.25</v>
      </c>
      <c r="AN18">
        <v>100.61</v>
      </c>
      <c r="AO18">
        <v>100.12</v>
      </c>
      <c r="AP18">
        <v>74.64</v>
      </c>
      <c r="AQ18">
        <v>74.42</v>
      </c>
    </row>
    <row r="19" spans="1:43" x14ac:dyDescent="0.25">
      <c r="A19" s="7">
        <v>38168</v>
      </c>
      <c r="B19">
        <v>1.2612000000000001</v>
      </c>
      <c r="C19" t="str">
        <v>#N/A N/A</v>
      </c>
      <c r="D19">
        <v>2.129</v>
      </c>
      <c r="E19">
        <v>1.0999999999999999E-2</v>
      </c>
      <c r="F19">
        <v>2.6772</v>
      </c>
      <c r="G19">
        <v>4.9569999999999999</v>
      </c>
      <c r="H19">
        <v>2.7229999999999999</v>
      </c>
      <c r="I19">
        <v>0.16900000000000001</v>
      </c>
      <c r="J19">
        <v>4.5805999999999996</v>
      </c>
      <c r="K19" s="2">
        <v>5.0990000000000002</v>
      </c>
      <c r="L19">
        <v>4.3179999999999996</v>
      </c>
      <c r="M19">
        <v>1.776</v>
      </c>
      <c r="N19">
        <v>14.34</v>
      </c>
      <c r="O19">
        <v>706.94100000000003</v>
      </c>
      <c r="P19">
        <v>88.8</v>
      </c>
      <c r="Q19">
        <v>106.61069999999999</v>
      </c>
      <c r="R19">
        <v>3.085</v>
      </c>
      <c r="S19">
        <v>37.049999999999997</v>
      </c>
      <c r="T19">
        <v>34.5</v>
      </c>
      <c r="U19">
        <v>270.73</v>
      </c>
      <c r="V19">
        <v>300.89</v>
      </c>
      <c r="W19">
        <v>1062.51</v>
      </c>
      <c r="X19">
        <v>432.2</v>
      </c>
      <c r="Y19">
        <v>21148.91</v>
      </c>
      <c r="Z19" t="str">
        <v>#N/A N/A</v>
      </c>
      <c r="AA19" t="str">
        <v>#N/A N/A</v>
      </c>
      <c r="AB19" t="str">
        <v>#N/A N/A</v>
      </c>
      <c r="AC19">
        <v>19.238700000000001</v>
      </c>
      <c r="AD19">
        <v>18.079999999999998</v>
      </c>
      <c r="AE19">
        <v>17.027200000000001</v>
      </c>
      <c r="AF19">
        <v>15.72</v>
      </c>
      <c r="AG19">
        <v>1.22</v>
      </c>
      <c r="AH19">
        <v>108.77</v>
      </c>
      <c r="AI19">
        <v>1.8204</v>
      </c>
      <c r="AJ19">
        <v>1.3328</v>
      </c>
      <c r="AK19">
        <v>7.5119999999999996</v>
      </c>
      <c r="AL19">
        <v>1.2486999999999999</v>
      </c>
      <c r="AM19">
        <v>124.66</v>
      </c>
      <c r="AN19">
        <v>100.37</v>
      </c>
      <c r="AO19">
        <v>100.51</v>
      </c>
      <c r="AP19">
        <v>75.239999999999995</v>
      </c>
      <c r="AQ19">
        <v>75.099999999999994</v>
      </c>
    </row>
    <row r="20" spans="1:43" x14ac:dyDescent="0.25">
      <c r="A20" s="7">
        <v>38198</v>
      </c>
      <c r="B20">
        <v>1.4345000000000001</v>
      </c>
      <c r="C20" t="str">
        <v>#N/A N/A</v>
      </c>
      <c r="D20">
        <v>2.1179999999999999</v>
      </c>
      <c r="E20">
        <v>8.0000000000000002E-3</v>
      </c>
      <c r="F20">
        <v>2.6770999999999998</v>
      </c>
      <c r="G20">
        <v>5.0430000000000001</v>
      </c>
      <c r="H20">
        <v>2.6259999999999999</v>
      </c>
      <c r="I20">
        <v>0.21099999999999999</v>
      </c>
      <c r="J20">
        <v>4.4747000000000003</v>
      </c>
      <c r="K20" s="2">
        <v>5.0960000000000001</v>
      </c>
      <c r="L20">
        <v>4.2160000000000002</v>
      </c>
      <c r="M20">
        <v>1.849</v>
      </c>
      <c r="N20">
        <v>15.32</v>
      </c>
      <c r="O20">
        <v>610.83299999999997</v>
      </c>
      <c r="P20">
        <v>89.96</v>
      </c>
      <c r="Q20">
        <v>106.64490000000001</v>
      </c>
      <c r="R20">
        <v>3.0365000000000002</v>
      </c>
      <c r="S20">
        <v>43.8</v>
      </c>
      <c r="T20">
        <v>40.03</v>
      </c>
      <c r="U20">
        <v>265.42</v>
      </c>
      <c r="V20">
        <v>320.20999999999998</v>
      </c>
      <c r="W20">
        <v>1026.99</v>
      </c>
      <c r="X20">
        <v>423.14</v>
      </c>
      <c r="Y20">
        <v>22336.87</v>
      </c>
      <c r="Z20" t="str">
        <v>#N/A N/A</v>
      </c>
      <c r="AA20" t="str">
        <v>#N/A N/A</v>
      </c>
      <c r="AB20" t="str">
        <v>#N/A N/A</v>
      </c>
      <c r="AC20">
        <v>18.470199999999998</v>
      </c>
      <c r="AD20">
        <v>18.476400000000002</v>
      </c>
      <c r="AE20">
        <v>17.630700000000001</v>
      </c>
      <c r="AF20">
        <v>15.74</v>
      </c>
      <c r="AG20">
        <v>1.2019</v>
      </c>
      <c r="AH20">
        <v>111.36</v>
      </c>
      <c r="AI20">
        <v>1.8199000000000001</v>
      </c>
      <c r="AJ20">
        <v>1.3313999999999999</v>
      </c>
      <c r="AK20">
        <v>7.6753</v>
      </c>
      <c r="AL20">
        <v>1.2815000000000001</v>
      </c>
      <c r="AM20">
        <v>127.77</v>
      </c>
      <c r="AN20">
        <v>104.98</v>
      </c>
      <c r="AO20">
        <v>101.21</v>
      </c>
      <c r="AP20">
        <v>75.569999999999993</v>
      </c>
      <c r="AQ20">
        <v>78.239999999999995</v>
      </c>
    </row>
    <row r="21" spans="1:43" x14ac:dyDescent="0.25">
      <c r="A21" s="7">
        <v>38230</v>
      </c>
      <c r="B21">
        <v>1.5778000000000001</v>
      </c>
      <c r="C21" t="str">
        <v>#N/A N/A</v>
      </c>
      <c r="D21">
        <v>2.1230000000000002</v>
      </c>
      <c r="E21">
        <v>8.9999999999999993E-3</v>
      </c>
      <c r="F21">
        <v>2.3910999999999998</v>
      </c>
      <c r="G21">
        <v>4.7949999999999999</v>
      </c>
      <c r="H21">
        <v>2.415</v>
      </c>
      <c r="I21">
        <v>0.159</v>
      </c>
      <c r="J21">
        <v>4.1166999999999998</v>
      </c>
      <c r="K21" s="2">
        <v>4.923</v>
      </c>
      <c r="L21">
        <v>4.0229999999999997</v>
      </c>
      <c r="M21">
        <v>1.534</v>
      </c>
      <c r="N21">
        <v>15.29</v>
      </c>
      <c r="O21">
        <v>486</v>
      </c>
      <c r="P21">
        <v>88.94</v>
      </c>
      <c r="Q21">
        <v>106.5712</v>
      </c>
      <c r="R21">
        <v>2.927</v>
      </c>
      <c r="S21">
        <v>42.12</v>
      </c>
      <c r="T21">
        <v>39.61</v>
      </c>
      <c r="U21">
        <v>277.74</v>
      </c>
      <c r="V21">
        <v>316.01</v>
      </c>
      <c r="W21">
        <v>1029.6300000000001</v>
      </c>
      <c r="X21">
        <v>439.75</v>
      </c>
      <c r="Y21">
        <v>22803.19</v>
      </c>
      <c r="Z21" t="str">
        <v>#N/A N/A</v>
      </c>
      <c r="AA21" t="str">
        <v>#N/A N/A</v>
      </c>
      <c r="AB21" t="str">
        <v>#N/A N/A</v>
      </c>
      <c r="AC21">
        <v>19.225300000000001</v>
      </c>
      <c r="AD21">
        <v>18.600000000000001</v>
      </c>
      <c r="AE21">
        <v>17.972300000000001</v>
      </c>
      <c r="AF21">
        <v>15.82</v>
      </c>
      <c r="AG21">
        <v>1.2182999999999999</v>
      </c>
      <c r="AH21">
        <v>109.17</v>
      </c>
      <c r="AI21">
        <v>1.8024</v>
      </c>
      <c r="AJ21">
        <v>1.3127</v>
      </c>
      <c r="AK21">
        <v>7.5</v>
      </c>
      <c r="AL21">
        <v>1.2664</v>
      </c>
      <c r="AM21">
        <v>132.37</v>
      </c>
      <c r="AN21">
        <v>107.38</v>
      </c>
      <c r="AO21">
        <v>102.23</v>
      </c>
      <c r="AP21">
        <v>75.91</v>
      </c>
      <c r="AQ21">
        <v>77.67</v>
      </c>
    </row>
    <row r="22" spans="1:43" x14ac:dyDescent="0.25">
      <c r="A22" s="7">
        <v>38260</v>
      </c>
      <c r="B22">
        <v>1.7002999999999999</v>
      </c>
      <c r="C22" t="str">
        <v>#N/A N/A</v>
      </c>
      <c r="D22">
        <v>2.1469999999999998</v>
      </c>
      <c r="E22">
        <v>7.0000000000000001E-3</v>
      </c>
      <c r="F22">
        <v>2.605</v>
      </c>
      <c r="G22">
        <v>4.6790000000000003</v>
      </c>
      <c r="H22">
        <v>2.5830000000000002</v>
      </c>
      <c r="I22">
        <v>0.13</v>
      </c>
      <c r="J22">
        <v>4.1193999999999997</v>
      </c>
      <c r="K22" s="2">
        <v>4.8330000000000002</v>
      </c>
      <c r="L22">
        <v>3.9910000000000001</v>
      </c>
      <c r="M22">
        <v>1.4390000000000001</v>
      </c>
      <c r="N22">
        <v>13.34</v>
      </c>
      <c r="O22">
        <v>443.125</v>
      </c>
      <c r="P22">
        <v>87.37</v>
      </c>
      <c r="Q22">
        <v>106.40600000000001</v>
      </c>
      <c r="R22">
        <v>2.8607999999999998</v>
      </c>
      <c r="S22">
        <v>49.64</v>
      </c>
      <c r="T22">
        <v>46.38</v>
      </c>
      <c r="U22">
        <v>264.04000000000002</v>
      </c>
      <c r="V22">
        <v>354.08</v>
      </c>
      <c r="W22">
        <v>1047.8599999999999</v>
      </c>
      <c r="X22">
        <v>464.15</v>
      </c>
      <c r="Y22">
        <v>23245.24</v>
      </c>
      <c r="Z22" t="str">
        <v>#N/A N/A</v>
      </c>
      <c r="AA22" t="str">
        <v>#N/A N/A</v>
      </c>
      <c r="AB22" t="str">
        <v>#N/A N/A</v>
      </c>
      <c r="AC22">
        <v>17.866399999999999</v>
      </c>
      <c r="AD22">
        <v>17.6813</v>
      </c>
      <c r="AE22">
        <v>17.4086</v>
      </c>
      <c r="AF22">
        <v>16.170000000000002</v>
      </c>
      <c r="AG22">
        <v>1.2436</v>
      </c>
      <c r="AH22">
        <v>110.05</v>
      </c>
      <c r="AI22">
        <v>1.8120000000000001</v>
      </c>
      <c r="AJ22">
        <v>1.2613000000000001</v>
      </c>
      <c r="AK22">
        <v>7.2702999999999998</v>
      </c>
      <c r="AL22">
        <v>1.2461</v>
      </c>
      <c r="AM22">
        <v>127.3</v>
      </c>
      <c r="AN22">
        <v>107.36</v>
      </c>
      <c r="AO22">
        <v>102.73</v>
      </c>
      <c r="AP22">
        <v>76.7</v>
      </c>
      <c r="AQ22">
        <v>76.66</v>
      </c>
    </row>
    <row r="23" spans="1:43" x14ac:dyDescent="0.25">
      <c r="A23" s="7">
        <v>38289</v>
      </c>
      <c r="B23">
        <v>1.8943000000000001</v>
      </c>
      <c r="C23" t="str">
        <v>#N/A N/A</v>
      </c>
      <c r="D23">
        <v>2.1739999999999999</v>
      </c>
      <c r="E23">
        <v>1E-3</v>
      </c>
      <c r="F23">
        <v>2.5484</v>
      </c>
      <c r="G23">
        <v>4.5640000000000001</v>
      </c>
      <c r="H23">
        <v>2.4289999999999998</v>
      </c>
      <c r="I23">
        <v>0.12</v>
      </c>
      <c r="J23">
        <v>4.0235000000000003</v>
      </c>
      <c r="K23" s="2">
        <v>4.7380000000000004</v>
      </c>
      <c r="L23">
        <v>3.8730000000000002</v>
      </c>
      <c r="M23">
        <v>1.4890000000000001</v>
      </c>
      <c r="N23">
        <v>16.27</v>
      </c>
      <c r="O23">
        <v>436</v>
      </c>
      <c r="P23">
        <v>84.91</v>
      </c>
      <c r="Q23">
        <v>105.8904</v>
      </c>
      <c r="R23">
        <v>2.8570000000000002</v>
      </c>
      <c r="S23">
        <v>51.76</v>
      </c>
      <c r="T23">
        <v>48.98</v>
      </c>
      <c r="U23">
        <v>258.5</v>
      </c>
      <c r="V23">
        <v>348.25</v>
      </c>
      <c r="W23">
        <v>1072.7</v>
      </c>
      <c r="X23">
        <v>474.27</v>
      </c>
      <c r="Y23">
        <v>23052.18</v>
      </c>
      <c r="Z23" t="str">
        <v>#N/A N/A</v>
      </c>
      <c r="AA23" t="str">
        <v>#N/A N/A</v>
      </c>
      <c r="AB23" t="str">
        <v>#N/A N/A</v>
      </c>
      <c r="AC23">
        <v>18.095500000000001</v>
      </c>
      <c r="AD23">
        <v>18.146000000000001</v>
      </c>
      <c r="AE23">
        <v>17.917200000000001</v>
      </c>
      <c r="AF23">
        <v>16.66</v>
      </c>
      <c r="AG23">
        <v>1.2798</v>
      </c>
      <c r="AH23">
        <v>105.81</v>
      </c>
      <c r="AI23">
        <v>1.8372999999999999</v>
      </c>
      <c r="AJ23">
        <v>1.2177</v>
      </c>
      <c r="AK23">
        <v>7.0750000000000002</v>
      </c>
      <c r="AL23">
        <v>1.1942999999999999</v>
      </c>
      <c r="AM23">
        <v>130.19999999999999</v>
      </c>
      <c r="AN23">
        <v>108.94</v>
      </c>
      <c r="AO23">
        <v>102.11</v>
      </c>
      <c r="AP23">
        <v>76.28</v>
      </c>
      <c r="AQ23">
        <v>76.430000000000007</v>
      </c>
    </row>
    <row r="24" spans="1:43" x14ac:dyDescent="0.25">
      <c r="A24" s="7">
        <v>38321</v>
      </c>
      <c r="B24">
        <v>2.2227000000000001</v>
      </c>
      <c r="C24" t="str">
        <v>#N/A N/A</v>
      </c>
      <c r="D24">
        <v>2.1419999999999999</v>
      </c>
      <c r="E24">
        <v>2E-3</v>
      </c>
      <c r="F24">
        <v>2.9967000000000001</v>
      </c>
      <c r="G24">
        <v>4.4249999999999998</v>
      </c>
      <c r="H24">
        <v>2.351</v>
      </c>
      <c r="I24">
        <v>0.105</v>
      </c>
      <c r="J24">
        <v>4.3491999999999997</v>
      </c>
      <c r="K24" s="2">
        <v>4.5960000000000001</v>
      </c>
      <c r="L24">
        <v>3.7930000000000001</v>
      </c>
      <c r="M24">
        <v>1.444</v>
      </c>
      <c r="N24">
        <v>13.24</v>
      </c>
      <c r="O24">
        <v>363.6</v>
      </c>
      <c r="P24">
        <v>81.819999999999993</v>
      </c>
      <c r="Q24">
        <v>104.7672</v>
      </c>
      <c r="R24">
        <v>2.72</v>
      </c>
      <c r="S24">
        <v>49.13</v>
      </c>
      <c r="T24">
        <v>45.51</v>
      </c>
      <c r="U24">
        <v>274.89999999999998</v>
      </c>
      <c r="V24">
        <v>364.55</v>
      </c>
      <c r="W24">
        <v>1127.3399999999999</v>
      </c>
      <c r="X24">
        <v>517.95000000000005</v>
      </c>
      <c r="Y24">
        <v>25128.33</v>
      </c>
      <c r="Z24" t="str">
        <v>#N/A N/A</v>
      </c>
      <c r="AA24" t="str">
        <v>#N/A N/A</v>
      </c>
      <c r="AB24" t="str">
        <v>#N/A N/A</v>
      </c>
      <c r="AC24">
        <v>17.843499999999999</v>
      </c>
      <c r="AD24">
        <v>17.803999999999998</v>
      </c>
      <c r="AE24">
        <v>17.850000000000001</v>
      </c>
      <c r="AF24">
        <v>17.2</v>
      </c>
      <c r="AG24">
        <v>1.3279000000000001</v>
      </c>
      <c r="AH24">
        <v>103.07</v>
      </c>
      <c r="AI24">
        <v>1.9095</v>
      </c>
      <c r="AJ24">
        <v>1.1874</v>
      </c>
      <c r="AK24">
        <v>6.7263000000000002</v>
      </c>
      <c r="AL24">
        <v>1.1413</v>
      </c>
      <c r="AM24">
        <v>130.55000000000001</v>
      </c>
      <c r="AN24">
        <v>106.97</v>
      </c>
      <c r="AO24">
        <v>102.06</v>
      </c>
      <c r="AP24">
        <v>76.989999999999995</v>
      </c>
      <c r="AQ24">
        <v>76.92</v>
      </c>
    </row>
    <row r="25" spans="1:43" x14ac:dyDescent="0.25">
      <c r="A25" s="7">
        <v>38352</v>
      </c>
      <c r="B25">
        <v>2.2117</v>
      </c>
      <c r="C25" t="str">
        <v>#N/A N/A</v>
      </c>
      <c r="D25">
        <v>2.11</v>
      </c>
      <c r="E25">
        <v>2E-3</v>
      </c>
      <c r="F25">
        <v>3.0651000000000002</v>
      </c>
      <c r="G25">
        <v>4.4370000000000003</v>
      </c>
      <c r="H25">
        <v>2.4809999999999999</v>
      </c>
      <c r="I25">
        <v>0.105</v>
      </c>
      <c r="J25">
        <v>4.2182000000000004</v>
      </c>
      <c r="K25" s="2">
        <v>4.5369999999999999</v>
      </c>
      <c r="L25">
        <v>3.6829999999999998</v>
      </c>
      <c r="M25">
        <v>1.431</v>
      </c>
      <c r="N25">
        <v>13.29</v>
      </c>
      <c r="O25">
        <v>304.5</v>
      </c>
      <c r="P25">
        <v>80.849999999999994</v>
      </c>
      <c r="Q25">
        <v>103.4911</v>
      </c>
      <c r="R25">
        <v>2.6560000000000001</v>
      </c>
      <c r="S25">
        <v>43.45</v>
      </c>
      <c r="T25">
        <v>40.46</v>
      </c>
      <c r="U25">
        <v>255.97</v>
      </c>
      <c r="V25">
        <v>357.69</v>
      </c>
      <c r="W25">
        <v>1169.3399999999999</v>
      </c>
      <c r="X25">
        <v>542.16999999999996</v>
      </c>
      <c r="Y25">
        <v>26196.25</v>
      </c>
      <c r="Z25" t="str">
        <v>#N/A N/A</v>
      </c>
      <c r="AA25" t="str">
        <v>#N/A N/A</v>
      </c>
      <c r="AB25" t="str">
        <v>#N/A N/A</v>
      </c>
      <c r="AC25">
        <v>16.532599999999999</v>
      </c>
      <c r="AD25">
        <v>17.002500000000001</v>
      </c>
      <c r="AE25">
        <v>17.824200000000001</v>
      </c>
      <c r="AF25">
        <v>17.760000000000002</v>
      </c>
      <c r="AG25">
        <v>1.3553999999999999</v>
      </c>
      <c r="AH25">
        <v>102.63</v>
      </c>
      <c r="AI25">
        <v>1.9181999999999999</v>
      </c>
      <c r="AJ25">
        <v>1.2019</v>
      </c>
      <c r="AK25">
        <v>6.6558999999999999</v>
      </c>
      <c r="AL25">
        <v>1.1404000000000001</v>
      </c>
      <c r="AM25">
        <v>119.57</v>
      </c>
      <c r="AN25">
        <v>98.73</v>
      </c>
      <c r="AO25">
        <v>102.76</v>
      </c>
      <c r="AP25">
        <v>76.400000000000006</v>
      </c>
      <c r="AQ25">
        <v>75.5</v>
      </c>
    </row>
    <row r="26" spans="1:43" x14ac:dyDescent="0.25">
      <c r="A26" s="7">
        <v>38383</v>
      </c>
      <c r="B26">
        <v>2.4575999999999998</v>
      </c>
      <c r="C26" t="str">
        <v>#N/A N/A</v>
      </c>
      <c r="D26">
        <v>2.1459999999999999</v>
      </c>
      <c r="E26">
        <v>2E-3</v>
      </c>
      <c r="F26">
        <v>3.2715999999999998</v>
      </c>
      <c r="G26">
        <v>4.5149999999999997</v>
      </c>
      <c r="H26">
        <v>2.3980000000000001</v>
      </c>
      <c r="I26">
        <v>0.09</v>
      </c>
      <c r="J26">
        <v>4.1280000000000001</v>
      </c>
      <c r="K26" s="2">
        <v>4.6059999999999999</v>
      </c>
      <c r="L26">
        <v>3.5470000000000002</v>
      </c>
      <c r="M26">
        <v>1.32</v>
      </c>
      <c r="N26">
        <v>12.82</v>
      </c>
      <c r="O26">
        <v>362.33300000000003</v>
      </c>
      <c r="P26">
        <v>83.57</v>
      </c>
      <c r="Q26">
        <v>103.36360000000001</v>
      </c>
      <c r="R26">
        <v>2.6088</v>
      </c>
      <c r="S26">
        <v>48.2</v>
      </c>
      <c r="T26">
        <v>45.92</v>
      </c>
      <c r="U26">
        <v>247.96</v>
      </c>
      <c r="V26">
        <v>361.45</v>
      </c>
      <c r="W26">
        <v>1142.3499999999999</v>
      </c>
      <c r="X26">
        <v>542.28</v>
      </c>
      <c r="Y26">
        <v>24350.62</v>
      </c>
      <c r="Z26" t="str">
        <v>#N/A N/A</v>
      </c>
      <c r="AA26" t="str">
        <v>#N/A N/A</v>
      </c>
      <c r="AB26" t="str">
        <v>#N/A N/A</v>
      </c>
      <c r="AC26">
        <v>17.1066</v>
      </c>
      <c r="AD26">
        <v>17.749700000000001</v>
      </c>
      <c r="AE26">
        <v>18.838899999999999</v>
      </c>
      <c r="AF26">
        <v>18.25</v>
      </c>
      <c r="AG26">
        <v>1.3039000000000001</v>
      </c>
      <c r="AH26">
        <v>103.7</v>
      </c>
      <c r="AI26">
        <v>1.8829</v>
      </c>
      <c r="AJ26">
        <v>1.2398</v>
      </c>
      <c r="AK26">
        <v>6.9890999999999996</v>
      </c>
      <c r="AL26">
        <v>1.1889000000000001</v>
      </c>
      <c r="AM26">
        <v>109</v>
      </c>
      <c r="AN26">
        <v>94.44</v>
      </c>
      <c r="AO26">
        <v>103.24</v>
      </c>
      <c r="AP26">
        <v>76.91</v>
      </c>
      <c r="AQ26">
        <v>72.66</v>
      </c>
    </row>
    <row r="27" spans="1:43" x14ac:dyDescent="0.25">
      <c r="A27" s="7">
        <v>38411</v>
      </c>
      <c r="B27">
        <v>2.7450000000000001</v>
      </c>
      <c r="C27" t="str">
        <v>#N/A N/A</v>
      </c>
      <c r="D27">
        <v>2.1640000000000001</v>
      </c>
      <c r="E27">
        <v>2E-3</v>
      </c>
      <c r="F27">
        <v>3.5958000000000001</v>
      </c>
      <c r="G27">
        <v>4.7699999999999996</v>
      </c>
      <c r="H27">
        <v>2.4910000000000001</v>
      </c>
      <c r="I27">
        <v>0.129</v>
      </c>
      <c r="J27">
        <v>4.3765999999999998</v>
      </c>
      <c r="K27" s="2">
        <v>4.7359999999999998</v>
      </c>
      <c r="L27">
        <v>3.7149999999999999</v>
      </c>
      <c r="M27">
        <v>1.4650000000000001</v>
      </c>
      <c r="N27">
        <v>12.08</v>
      </c>
      <c r="O27">
        <v>318.875</v>
      </c>
      <c r="P27">
        <v>82.51</v>
      </c>
      <c r="Q27">
        <v>102.6534</v>
      </c>
      <c r="R27">
        <v>2.5874999999999999</v>
      </c>
      <c r="S27">
        <v>51.75</v>
      </c>
      <c r="T27">
        <v>50.06</v>
      </c>
      <c r="U27">
        <v>253.45</v>
      </c>
      <c r="V27">
        <v>373.49</v>
      </c>
      <c r="W27">
        <v>1176.7</v>
      </c>
      <c r="X27">
        <v>588.67999999999995</v>
      </c>
      <c r="Y27">
        <v>28139.13</v>
      </c>
      <c r="Z27" t="str">
        <v>#N/A N/A</v>
      </c>
      <c r="AA27" t="str">
        <v>#N/A N/A</v>
      </c>
      <c r="AB27" t="str">
        <v>#N/A N/A</v>
      </c>
      <c r="AC27">
        <v>16.701499999999999</v>
      </c>
      <c r="AD27">
        <v>17.384799999999998</v>
      </c>
      <c r="AE27">
        <v>18.481999999999999</v>
      </c>
      <c r="AF27">
        <v>18.68</v>
      </c>
      <c r="AG27">
        <v>1.3228</v>
      </c>
      <c r="AH27">
        <v>104.63</v>
      </c>
      <c r="AI27">
        <v>1.9211</v>
      </c>
      <c r="AJ27">
        <v>1.2339</v>
      </c>
      <c r="AK27">
        <v>6.8506999999999998</v>
      </c>
      <c r="AL27">
        <v>1.1631</v>
      </c>
      <c r="AM27">
        <v>103.46</v>
      </c>
      <c r="AN27">
        <v>89.02</v>
      </c>
      <c r="AO27">
        <v>101.82</v>
      </c>
      <c r="AP27">
        <v>77.39</v>
      </c>
      <c r="AQ27">
        <v>73</v>
      </c>
    </row>
    <row r="28" spans="1:43" x14ac:dyDescent="0.25">
      <c r="A28" s="7">
        <v>38442</v>
      </c>
      <c r="B28">
        <v>2.7664</v>
      </c>
      <c r="C28" t="str">
        <v>#N/A N/A</v>
      </c>
      <c r="D28">
        <v>2.145</v>
      </c>
      <c r="E28">
        <v>4.0000000000000001E-3</v>
      </c>
      <c r="F28">
        <v>3.7745000000000002</v>
      </c>
      <c r="G28">
        <v>4.6769999999999996</v>
      </c>
      <c r="H28">
        <v>2.492</v>
      </c>
      <c r="I28">
        <v>0.1</v>
      </c>
      <c r="J28">
        <v>4.4814999999999996</v>
      </c>
      <c r="K28" s="2">
        <v>4.6989999999999998</v>
      </c>
      <c r="L28">
        <v>3.6219999999999999</v>
      </c>
      <c r="M28">
        <v>1.32</v>
      </c>
      <c r="N28">
        <v>14.02</v>
      </c>
      <c r="O28">
        <v>433.2</v>
      </c>
      <c r="P28">
        <v>84.06</v>
      </c>
      <c r="Q28">
        <v>102.7923</v>
      </c>
      <c r="R28">
        <v>2.6789999999999998</v>
      </c>
      <c r="S28">
        <v>55.4</v>
      </c>
      <c r="T28">
        <v>54.29</v>
      </c>
      <c r="U28">
        <v>251.68</v>
      </c>
      <c r="V28">
        <v>369.95</v>
      </c>
      <c r="W28">
        <v>1151.18</v>
      </c>
      <c r="X28">
        <v>548.69000000000005</v>
      </c>
      <c r="Y28">
        <v>26610.65</v>
      </c>
      <c r="Z28" t="str">
        <v>#N/A N/A</v>
      </c>
      <c r="AA28" t="str">
        <v>#N/A N/A</v>
      </c>
      <c r="AB28" t="str">
        <v>#N/A N/A</v>
      </c>
      <c r="AC28">
        <v>17.828299999999999</v>
      </c>
      <c r="AD28">
        <v>18.294899999999998</v>
      </c>
      <c r="AE28">
        <v>19.184799999999999</v>
      </c>
      <c r="AF28">
        <v>19.21</v>
      </c>
      <c r="AG28">
        <v>1.2964</v>
      </c>
      <c r="AH28">
        <v>107.15</v>
      </c>
      <c r="AI28">
        <v>1.8905000000000001</v>
      </c>
      <c r="AJ28">
        <v>1.2103999999999999</v>
      </c>
      <c r="AK28">
        <v>7.0747</v>
      </c>
      <c r="AL28">
        <v>1.1964999999999999</v>
      </c>
      <c r="AM28">
        <v>127.93</v>
      </c>
      <c r="AN28">
        <v>102.6</v>
      </c>
      <c r="AO28">
        <v>102.83</v>
      </c>
      <c r="AP28">
        <v>77.47</v>
      </c>
      <c r="AQ28">
        <v>81.02</v>
      </c>
    </row>
    <row r="29" spans="1:43" x14ac:dyDescent="0.25">
      <c r="A29" s="7">
        <v>38471</v>
      </c>
      <c r="B29">
        <v>2.8891</v>
      </c>
      <c r="C29" t="str">
        <v>#N/A N/A</v>
      </c>
      <c r="D29">
        <v>2.1349999999999998</v>
      </c>
      <c r="E29">
        <v>1E-3</v>
      </c>
      <c r="F29">
        <v>3.6495000000000002</v>
      </c>
      <c r="G29">
        <v>4.5179999999999998</v>
      </c>
      <c r="H29">
        <v>2.2480000000000002</v>
      </c>
      <c r="I29">
        <v>0.08</v>
      </c>
      <c r="J29">
        <v>4.1976000000000004</v>
      </c>
      <c r="K29" s="2">
        <v>4.5309999999999997</v>
      </c>
      <c r="L29">
        <v>3.3959999999999999</v>
      </c>
      <c r="M29">
        <v>1.2350000000000001</v>
      </c>
      <c r="N29">
        <v>15.31</v>
      </c>
      <c r="O29">
        <v>413.16699999999997</v>
      </c>
      <c r="P29">
        <v>84.43</v>
      </c>
      <c r="Q29">
        <v>102.7478</v>
      </c>
      <c r="R29">
        <v>2.528</v>
      </c>
      <c r="S29">
        <v>49.72</v>
      </c>
      <c r="T29">
        <v>51.09</v>
      </c>
      <c r="U29">
        <v>256.87</v>
      </c>
      <c r="V29">
        <v>370.19</v>
      </c>
      <c r="W29">
        <v>1123.6400000000001</v>
      </c>
      <c r="X29">
        <v>531.99</v>
      </c>
      <c r="Y29">
        <v>24843.7</v>
      </c>
      <c r="Z29" t="str">
        <v>#N/A N/A</v>
      </c>
      <c r="AA29" t="str">
        <v>#N/A N/A</v>
      </c>
      <c r="AB29" t="str">
        <v>#N/A N/A</v>
      </c>
      <c r="AC29">
        <v>17.443100000000001</v>
      </c>
      <c r="AD29">
        <v>18.0609</v>
      </c>
      <c r="AE29">
        <v>19.129300000000001</v>
      </c>
      <c r="AF29">
        <v>19.46</v>
      </c>
      <c r="AG29">
        <v>1.2873000000000001</v>
      </c>
      <c r="AH29">
        <v>104.75</v>
      </c>
      <c r="AI29">
        <v>1.9088000000000001</v>
      </c>
      <c r="AJ29">
        <v>1.2583</v>
      </c>
      <c r="AK29">
        <v>7.1359000000000004</v>
      </c>
      <c r="AL29">
        <v>1.1951000000000001</v>
      </c>
      <c r="AM29">
        <v>120.77</v>
      </c>
      <c r="AN29">
        <v>101.36</v>
      </c>
      <c r="AO29">
        <v>102.87</v>
      </c>
      <c r="AP29">
        <v>77.98</v>
      </c>
      <c r="AQ29">
        <v>78.86</v>
      </c>
    </row>
    <row r="30" spans="1:43" x14ac:dyDescent="0.25">
      <c r="A30" s="7">
        <v>38503</v>
      </c>
      <c r="B30">
        <v>2.9398</v>
      </c>
      <c r="C30" t="str">
        <v>#N/A N/A</v>
      </c>
      <c r="D30">
        <v>2.1360000000000001</v>
      </c>
      <c r="E30">
        <v>2E-3</v>
      </c>
      <c r="F30">
        <v>3.5735999999999999</v>
      </c>
      <c r="G30">
        <v>4.2480000000000002</v>
      </c>
      <c r="H30">
        <v>2.141</v>
      </c>
      <c r="I30">
        <v>0.08</v>
      </c>
      <c r="J30">
        <v>3.9809999999999999</v>
      </c>
      <c r="K30" s="2">
        <v>4.3150000000000004</v>
      </c>
      <c r="L30">
        <v>3.274</v>
      </c>
      <c r="M30">
        <v>1.2390000000000001</v>
      </c>
      <c r="N30">
        <v>13.29</v>
      </c>
      <c r="O30">
        <v>336.72300000000001</v>
      </c>
      <c r="P30">
        <v>87.76</v>
      </c>
      <c r="Q30">
        <v>102.0865</v>
      </c>
      <c r="R30">
        <v>2.4076</v>
      </c>
      <c r="S30">
        <v>51.97</v>
      </c>
      <c r="T30">
        <v>50.73</v>
      </c>
      <c r="U30">
        <v>253.48</v>
      </c>
      <c r="V30">
        <v>366.09</v>
      </c>
      <c r="W30">
        <v>1140.68</v>
      </c>
      <c r="X30">
        <v>548.15</v>
      </c>
      <c r="Y30">
        <v>25207.07</v>
      </c>
      <c r="Z30" t="str">
        <v>#N/A N/A</v>
      </c>
      <c r="AA30" t="str">
        <v>#N/A N/A</v>
      </c>
      <c r="AB30" t="str">
        <v>#N/A N/A</v>
      </c>
      <c r="AC30">
        <v>17.014700000000001</v>
      </c>
      <c r="AD30">
        <v>17.5654</v>
      </c>
      <c r="AE30">
        <v>18.633099999999999</v>
      </c>
      <c r="AF30">
        <v>19.77</v>
      </c>
      <c r="AG30">
        <v>1.2303999999999999</v>
      </c>
      <c r="AH30">
        <v>108.57</v>
      </c>
      <c r="AI30">
        <v>1.8170999999999999</v>
      </c>
      <c r="AJ30">
        <v>1.2548999999999999</v>
      </c>
      <c r="AK30">
        <v>7.4398999999999997</v>
      </c>
      <c r="AL30">
        <v>1.2483</v>
      </c>
      <c r="AM30">
        <v>130.33000000000001</v>
      </c>
      <c r="AN30">
        <v>106.16</v>
      </c>
      <c r="AO30">
        <v>106.4</v>
      </c>
      <c r="AP30">
        <v>77.930000000000007</v>
      </c>
      <c r="AQ30">
        <v>77.81</v>
      </c>
    </row>
    <row r="31" spans="1:43" x14ac:dyDescent="0.25">
      <c r="A31" s="7">
        <v>38533</v>
      </c>
      <c r="B31">
        <v>3.1160999999999999</v>
      </c>
      <c r="C31" t="str">
        <v>#N/A N/A</v>
      </c>
      <c r="D31">
        <v>2.117</v>
      </c>
      <c r="E31">
        <v>1E-3</v>
      </c>
      <c r="F31">
        <v>3.6331000000000002</v>
      </c>
      <c r="G31">
        <v>4.0650000000000004</v>
      </c>
      <c r="H31">
        <v>2.0230000000000001</v>
      </c>
      <c r="I31">
        <v>7.0000000000000007E-2</v>
      </c>
      <c r="J31">
        <v>3.9129999999999998</v>
      </c>
      <c r="K31" s="2">
        <v>4.173</v>
      </c>
      <c r="L31">
        <v>3.1339999999999999</v>
      </c>
      <c r="M31">
        <v>1.1639999999999999</v>
      </c>
      <c r="N31">
        <v>12.04</v>
      </c>
      <c r="O31">
        <v>325.99</v>
      </c>
      <c r="P31">
        <v>89.09</v>
      </c>
      <c r="Q31">
        <v>102.02509999999999</v>
      </c>
      <c r="R31">
        <v>2.3325</v>
      </c>
      <c r="S31">
        <v>56.5</v>
      </c>
      <c r="T31">
        <v>55.58</v>
      </c>
      <c r="U31">
        <v>249.67</v>
      </c>
      <c r="V31">
        <v>361.42</v>
      </c>
      <c r="W31">
        <v>1148.81</v>
      </c>
      <c r="X31">
        <v>565.16999999999996</v>
      </c>
      <c r="Y31">
        <v>25051.21</v>
      </c>
      <c r="Z31" t="str">
        <v>#N/A N/A</v>
      </c>
      <c r="AA31" t="str">
        <v>#N/A N/A</v>
      </c>
      <c r="AB31" t="str">
        <v>#N/A N/A</v>
      </c>
      <c r="AC31">
        <v>16.491599999999998</v>
      </c>
      <c r="AD31">
        <v>17.151599999999998</v>
      </c>
      <c r="AE31">
        <v>18.12</v>
      </c>
      <c r="AF31">
        <v>19.739999999999998</v>
      </c>
      <c r="AG31">
        <v>1.2108000000000001</v>
      </c>
      <c r="AH31">
        <v>110.92</v>
      </c>
      <c r="AI31">
        <v>1.7915000000000001</v>
      </c>
      <c r="AJ31">
        <v>1.2251000000000001</v>
      </c>
      <c r="AK31">
        <v>7.8102</v>
      </c>
      <c r="AL31">
        <v>1.2814000000000001</v>
      </c>
      <c r="AM31">
        <v>135.07</v>
      </c>
      <c r="AN31">
        <v>106.5</v>
      </c>
      <c r="AO31">
        <v>104.19</v>
      </c>
      <c r="AP31">
        <v>77.510000000000005</v>
      </c>
      <c r="AQ31">
        <v>78.260000000000005</v>
      </c>
    </row>
    <row r="32" spans="1:43" x14ac:dyDescent="0.25">
      <c r="A32" s="7">
        <v>38562</v>
      </c>
      <c r="B32">
        <v>3.3933</v>
      </c>
      <c r="C32" t="str">
        <v>#N/A N/A</v>
      </c>
      <c r="D32">
        <v>2.1320000000000001</v>
      </c>
      <c r="E32">
        <v>1E-3</v>
      </c>
      <c r="F32">
        <v>4.0147000000000004</v>
      </c>
      <c r="G32">
        <v>4.17</v>
      </c>
      <c r="H32">
        <v>2.25</v>
      </c>
      <c r="I32">
        <v>0.11</v>
      </c>
      <c r="J32">
        <v>4.2759999999999998</v>
      </c>
      <c r="K32" s="2">
        <v>4.3150000000000004</v>
      </c>
      <c r="L32">
        <v>3.2429999999999999</v>
      </c>
      <c r="M32">
        <v>1.3029999999999999</v>
      </c>
      <c r="N32">
        <v>11.57</v>
      </c>
      <c r="O32">
        <v>329.82299999999998</v>
      </c>
      <c r="P32">
        <v>89.35</v>
      </c>
      <c r="Q32">
        <v>101.8389</v>
      </c>
      <c r="R32">
        <v>2.3786999999999998</v>
      </c>
      <c r="S32">
        <v>60.57</v>
      </c>
      <c r="T32">
        <v>59.37</v>
      </c>
      <c r="U32">
        <v>249.84</v>
      </c>
      <c r="V32">
        <v>365.45</v>
      </c>
      <c r="W32">
        <v>1188.17</v>
      </c>
      <c r="X32">
        <v>602.55999999999995</v>
      </c>
      <c r="Y32">
        <v>26042.36</v>
      </c>
      <c r="Z32" t="str">
        <v>#N/A N/A</v>
      </c>
      <c r="AA32" t="str">
        <v>#N/A N/A</v>
      </c>
      <c r="AB32" t="str">
        <v>#N/A N/A</v>
      </c>
      <c r="AC32">
        <v>17.080100000000002</v>
      </c>
      <c r="AD32">
        <v>17.526900000000001</v>
      </c>
      <c r="AE32">
        <v>18.312899999999999</v>
      </c>
      <c r="AF32">
        <v>19.68</v>
      </c>
      <c r="AG32">
        <v>1.2122999999999999</v>
      </c>
      <c r="AH32">
        <v>112.5</v>
      </c>
      <c r="AI32">
        <v>1.7579</v>
      </c>
      <c r="AJ32">
        <v>1.2233000000000001</v>
      </c>
      <c r="AK32">
        <v>7.7674000000000003</v>
      </c>
      <c r="AL32">
        <v>1.2894000000000001</v>
      </c>
      <c r="AM32">
        <v>123.8</v>
      </c>
      <c r="AN32">
        <v>105.47</v>
      </c>
      <c r="AO32">
        <v>103.57</v>
      </c>
      <c r="AP32">
        <v>77.47</v>
      </c>
      <c r="AQ32">
        <v>79.42</v>
      </c>
    </row>
    <row r="33" spans="1:43" x14ac:dyDescent="0.25">
      <c r="A33" s="7">
        <v>38595</v>
      </c>
      <c r="B33">
        <v>3.4977</v>
      </c>
      <c r="C33" t="str">
        <v>#N/A N/A</v>
      </c>
      <c r="D33">
        <v>2.1389999999999998</v>
      </c>
      <c r="E33">
        <v>2E-3</v>
      </c>
      <c r="F33">
        <v>3.8113999999999999</v>
      </c>
      <c r="G33">
        <v>4.1079999999999997</v>
      </c>
      <c r="H33">
        <v>2.1989999999999998</v>
      </c>
      <c r="I33">
        <v>0.13500000000000001</v>
      </c>
      <c r="J33">
        <v>4.0137</v>
      </c>
      <c r="K33" s="2">
        <v>4.1589999999999998</v>
      </c>
      <c r="L33">
        <v>3.1019999999999999</v>
      </c>
      <c r="M33">
        <v>1.339</v>
      </c>
      <c r="N33">
        <v>12.6</v>
      </c>
      <c r="O33">
        <v>339.61</v>
      </c>
      <c r="P33">
        <v>87.58</v>
      </c>
      <c r="Q33">
        <v>101.17019999999999</v>
      </c>
      <c r="R33">
        <v>2.3570000000000002</v>
      </c>
      <c r="S33">
        <v>68.94</v>
      </c>
      <c r="T33">
        <v>67.02</v>
      </c>
      <c r="U33">
        <v>247.35</v>
      </c>
      <c r="V33">
        <v>365.69</v>
      </c>
      <c r="W33">
        <v>1194.81</v>
      </c>
      <c r="X33">
        <v>606.23</v>
      </c>
      <c r="Y33">
        <v>28044.83</v>
      </c>
      <c r="Z33" t="str">
        <v>#N/A N/A</v>
      </c>
      <c r="AA33" t="str">
        <v>#N/A N/A</v>
      </c>
      <c r="AB33" t="str">
        <v>#N/A N/A</v>
      </c>
      <c r="AC33">
        <v>17.052</v>
      </c>
      <c r="AD33">
        <v>17.7088</v>
      </c>
      <c r="AE33">
        <v>18.313700000000001</v>
      </c>
      <c r="AF33">
        <v>19.71</v>
      </c>
      <c r="AG33">
        <v>1.2345999999999999</v>
      </c>
      <c r="AH33">
        <v>110.61</v>
      </c>
      <c r="AI33">
        <v>1.8041</v>
      </c>
      <c r="AJ33">
        <v>1.1878</v>
      </c>
      <c r="AK33">
        <v>7.5544000000000002</v>
      </c>
      <c r="AL33">
        <v>1.2529999999999999</v>
      </c>
      <c r="AM33">
        <v>137.19</v>
      </c>
      <c r="AN33">
        <v>111.39</v>
      </c>
      <c r="AO33">
        <v>103.69</v>
      </c>
      <c r="AP33">
        <v>78.05</v>
      </c>
      <c r="AQ33">
        <v>80.83</v>
      </c>
    </row>
    <row r="34" spans="1:43" x14ac:dyDescent="0.25">
      <c r="A34" s="7">
        <v>38625</v>
      </c>
      <c r="B34">
        <v>3.5375999999999999</v>
      </c>
      <c r="C34" t="str">
        <v>#N/A N/A</v>
      </c>
      <c r="D34">
        <v>2.177</v>
      </c>
      <c r="E34">
        <v>1E-3</v>
      </c>
      <c r="F34">
        <v>4.1649000000000003</v>
      </c>
      <c r="G34">
        <v>4.1929999999999996</v>
      </c>
      <c r="H34">
        <v>2.3940000000000001</v>
      </c>
      <c r="I34">
        <v>0.22500000000000001</v>
      </c>
      <c r="J34">
        <v>4.3239999999999998</v>
      </c>
      <c r="K34" s="2">
        <v>4.2869999999999999</v>
      </c>
      <c r="L34">
        <v>3.1480000000000001</v>
      </c>
      <c r="M34">
        <v>1.474</v>
      </c>
      <c r="N34">
        <v>11.92</v>
      </c>
      <c r="O34">
        <v>244.25700000000001</v>
      </c>
      <c r="P34">
        <v>89.52</v>
      </c>
      <c r="Q34">
        <v>101.58580000000001</v>
      </c>
      <c r="R34">
        <v>2.2275</v>
      </c>
      <c r="S34">
        <v>66.239999999999995</v>
      </c>
      <c r="T34">
        <v>63.48</v>
      </c>
      <c r="U34">
        <v>251.27</v>
      </c>
      <c r="V34">
        <v>366.01</v>
      </c>
      <c r="W34">
        <v>1224.31</v>
      </c>
      <c r="X34">
        <v>661.32</v>
      </c>
      <c r="Y34">
        <v>31583.79</v>
      </c>
      <c r="Z34" t="str">
        <v>#N/A N/A</v>
      </c>
      <c r="AA34" t="str">
        <v>#N/A N/A</v>
      </c>
      <c r="AB34" t="str">
        <v>#N/A N/A</v>
      </c>
      <c r="AC34">
        <v>16.326000000000001</v>
      </c>
      <c r="AD34">
        <v>16.900600000000001</v>
      </c>
      <c r="AE34">
        <v>17.894500000000001</v>
      </c>
      <c r="AF34">
        <v>19.510000000000002</v>
      </c>
      <c r="AG34">
        <v>1.2025999999999999</v>
      </c>
      <c r="AH34">
        <v>113.51</v>
      </c>
      <c r="AI34">
        <v>1.7643</v>
      </c>
      <c r="AJ34">
        <v>1.163</v>
      </c>
      <c r="AK34">
        <v>7.7447999999999997</v>
      </c>
      <c r="AL34">
        <v>1.2939000000000001</v>
      </c>
      <c r="AM34">
        <v>136.03</v>
      </c>
      <c r="AN34">
        <v>107.23</v>
      </c>
      <c r="AO34">
        <v>102.96</v>
      </c>
      <c r="AP34">
        <v>77.86</v>
      </c>
      <c r="AQ34">
        <v>77.88</v>
      </c>
    </row>
    <row r="35" spans="1:43" x14ac:dyDescent="0.25">
      <c r="A35" s="7">
        <v>38656</v>
      </c>
      <c r="B35">
        <v>3.8776999999999999</v>
      </c>
      <c r="C35" t="str">
        <v>#N/A N/A</v>
      </c>
      <c r="D35">
        <v>2.2330000000000001</v>
      </c>
      <c r="E35">
        <v>1E-3</v>
      </c>
      <c r="F35">
        <v>4.3738000000000001</v>
      </c>
      <c r="G35">
        <v>4.3230000000000004</v>
      </c>
      <c r="H35">
        <v>2.629</v>
      </c>
      <c r="I35">
        <v>0.28100000000000003</v>
      </c>
      <c r="J35">
        <v>4.5506000000000002</v>
      </c>
      <c r="K35" s="2">
        <v>4.335</v>
      </c>
      <c r="L35">
        <v>3.391</v>
      </c>
      <c r="M35">
        <v>1.544</v>
      </c>
      <c r="N35">
        <v>15.32</v>
      </c>
      <c r="O35">
        <v>277.79300000000001</v>
      </c>
      <c r="P35">
        <v>90.07</v>
      </c>
      <c r="Q35">
        <v>101.9683</v>
      </c>
      <c r="R35">
        <v>2.2517999999999998</v>
      </c>
      <c r="S35">
        <v>59.76</v>
      </c>
      <c r="T35">
        <v>58.1</v>
      </c>
      <c r="U35">
        <v>255.14</v>
      </c>
      <c r="V35">
        <v>368.52</v>
      </c>
      <c r="W35">
        <v>1193.8800000000001</v>
      </c>
      <c r="X35">
        <v>617.41</v>
      </c>
      <c r="Y35">
        <v>30193.51</v>
      </c>
      <c r="Z35" t="str">
        <v>#N/A N/A</v>
      </c>
      <c r="AA35" t="str">
        <v>#N/A N/A</v>
      </c>
      <c r="AB35" t="str">
        <v>#N/A N/A</v>
      </c>
      <c r="AC35">
        <v>16.656700000000001</v>
      </c>
      <c r="AD35">
        <v>17.2258</v>
      </c>
      <c r="AE35">
        <v>17.596</v>
      </c>
      <c r="AF35">
        <v>18.920000000000002</v>
      </c>
      <c r="AG35">
        <v>1.1992</v>
      </c>
      <c r="AH35">
        <v>116.4</v>
      </c>
      <c r="AI35">
        <v>1.77</v>
      </c>
      <c r="AJ35">
        <v>1.1821999999999999</v>
      </c>
      <c r="AK35">
        <v>7.9602000000000004</v>
      </c>
      <c r="AL35">
        <v>1.2886</v>
      </c>
      <c r="AM35">
        <v>132</v>
      </c>
      <c r="AN35">
        <v>109.22</v>
      </c>
      <c r="AO35">
        <v>102.55</v>
      </c>
      <c r="AP35">
        <v>77.989999999999995</v>
      </c>
      <c r="AQ35">
        <v>78.14</v>
      </c>
    </row>
    <row r="36" spans="1:43" x14ac:dyDescent="0.25">
      <c r="A36" s="7">
        <v>38686</v>
      </c>
      <c r="B36">
        <v>3.9315000000000002</v>
      </c>
      <c r="C36" t="str">
        <v>#N/A N/A</v>
      </c>
      <c r="D36">
        <v>2.3959999999999999</v>
      </c>
      <c r="E36">
        <v>1E-3</v>
      </c>
      <c r="F36">
        <v>4.4067999999999996</v>
      </c>
      <c r="G36">
        <v>4.3079999999999998</v>
      </c>
      <c r="H36">
        <v>2.76</v>
      </c>
      <c r="I36">
        <v>0.22</v>
      </c>
      <c r="J36">
        <v>4.484</v>
      </c>
      <c r="K36">
        <v>4.2309999999999999</v>
      </c>
      <c r="L36">
        <v>3.4550000000000001</v>
      </c>
      <c r="M36">
        <v>1.43</v>
      </c>
      <c r="N36">
        <v>12.06</v>
      </c>
      <c r="O36">
        <v>252.5</v>
      </c>
      <c r="P36">
        <v>91.57</v>
      </c>
      <c r="Q36">
        <v>101.5385</v>
      </c>
      <c r="R36">
        <v>2.2035</v>
      </c>
      <c r="S36">
        <v>57.32</v>
      </c>
      <c r="T36">
        <v>55.05</v>
      </c>
      <c r="U36">
        <v>246.58</v>
      </c>
      <c r="V36">
        <v>372.1</v>
      </c>
      <c r="W36">
        <v>1231.4100000000001</v>
      </c>
      <c r="X36">
        <v>667.99</v>
      </c>
      <c r="Y36">
        <v>31916.76</v>
      </c>
      <c r="Z36" t="str">
        <v>#N/A N/A</v>
      </c>
      <c r="AA36" t="str">
        <v>#N/A N/A</v>
      </c>
      <c r="AB36" t="str">
        <v>#N/A N/A</v>
      </c>
      <c r="AC36">
        <v>16.322399999999998</v>
      </c>
      <c r="AD36">
        <v>16.444299999999998</v>
      </c>
      <c r="AE36">
        <v>16.742899999999999</v>
      </c>
      <c r="AF36">
        <v>18.43</v>
      </c>
      <c r="AG36">
        <v>1.1788000000000001</v>
      </c>
      <c r="AH36">
        <v>119.81</v>
      </c>
      <c r="AI36">
        <v>1.7293000000000001</v>
      </c>
      <c r="AJ36">
        <v>1.1657</v>
      </c>
      <c r="AK36">
        <v>8.0780999999999992</v>
      </c>
      <c r="AL36">
        <v>1.3151999999999999</v>
      </c>
      <c r="AM36">
        <v>136.27000000000001</v>
      </c>
      <c r="AN36">
        <v>107.69</v>
      </c>
      <c r="AO36">
        <v>103.45</v>
      </c>
      <c r="AP36">
        <v>78.52</v>
      </c>
      <c r="AQ36">
        <v>78.430000000000007</v>
      </c>
    </row>
    <row r="37" spans="1:43" x14ac:dyDescent="0.25">
      <c r="A37" s="7">
        <v>38716</v>
      </c>
      <c r="B37">
        <v>4.0739999999999998</v>
      </c>
      <c r="C37" t="str">
        <v>#N/A N/A</v>
      </c>
      <c r="D37">
        <v>2.4460000000000002</v>
      </c>
      <c r="E37">
        <v>0.01</v>
      </c>
      <c r="F37">
        <v>4.3996000000000004</v>
      </c>
      <c r="G37">
        <v>4.1909999999999998</v>
      </c>
      <c r="H37">
        <v>2.8620000000000001</v>
      </c>
      <c r="I37">
        <v>0.28199999999999997</v>
      </c>
      <c r="J37">
        <v>4.3910999999999998</v>
      </c>
      <c r="K37">
        <v>4.0999999999999996</v>
      </c>
      <c r="L37">
        <v>3.3090000000000002</v>
      </c>
      <c r="M37">
        <v>1.47</v>
      </c>
      <c r="N37">
        <v>12.07</v>
      </c>
      <c r="O37">
        <v>225.071</v>
      </c>
      <c r="P37">
        <v>91.17</v>
      </c>
      <c r="Q37">
        <v>101.1417</v>
      </c>
      <c r="R37">
        <v>2.3355000000000001</v>
      </c>
      <c r="S37">
        <v>61.04</v>
      </c>
      <c r="T37">
        <v>58.98</v>
      </c>
      <c r="U37">
        <v>241.73</v>
      </c>
      <c r="V37">
        <v>439.15</v>
      </c>
      <c r="W37">
        <v>1257.78</v>
      </c>
      <c r="X37">
        <v>706.48</v>
      </c>
      <c r="Y37">
        <v>33455.94</v>
      </c>
      <c r="Z37" t="str">
        <v>#N/A N/A</v>
      </c>
      <c r="AA37" t="str">
        <v>#N/A N/A</v>
      </c>
      <c r="AB37" t="str">
        <v>#N/A N/A</v>
      </c>
      <c r="AC37">
        <v>15.447100000000001</v>
      </c>
      <c r="AD37">
        <v>15.7178</v>
      </c>
      <c r="AE37">
        <v>16.3858</v>
      </c>
      <c r="AF37">
        <v>17.989999999999998</v>
      </c>
      <c r="AG37">
        <v>1.1849000000000001</v>
      </c>
      <c r="AH37">
        <v>117.75</v>
      </c>
      <c r="AI37">
        <v>1.7230000000000001</v>
      </c>
      <c r="AJ37">
        <v>1.1619999999999999</v>
      </c>
      <c r="AK37">
        <v>7.9386000000000001</v>
      </c>
      <c r="AL37">
        <v>1.3133999999999999</v>
      </c>
      <c r="AM37">
        <v>128.02000000000001</v>
      </c>
      <c r="AN37">
        <v>100.94</v>
      </c>
      <c r="AO37">
        <v>105.2</v>
      </c>
      <c r="AP37">
        <v>79.11</v>
      </c>
      <c r="AQ37">
        <v>78.09</v>
      </c>
    </row>
    <row r="38" spans="1:43" x14ac:dyDescent="0.25">
      <c r="A38" s="7">
        <v>38748</v>
      </c>
      <c r="B38">
        <v>4.46</v>
      </c>
      <c r="C38" t="str">
        <v>#N/A N/A</v>
      </c>
      <c r="D38">
        <v>2.516</v>
      </c>
      <c r="E38">
        <v>4.0000000000000001E-3</v>
      </c>
      <c r="F38">
        <v>4.5155000000000003</v>
      </c>
      <c r="G38">
        <v>4.3170000000000002</v>
      </c>
      <c r="H38">
        <v>2.9550000000000001</v>
      </c>
      <c r="I38">
        <v>0.28899999999999998</v>
      </c>
      <c r="J38">
        <v>4.5152000000000001</v>
      </c>
      <c r="K38">
        <v>4.1500000000000004</v>
      </c>
      <c r="L38">
        <v>3.4670000000000001</v>
      </c>
      <c r="M38">
        <v>1.56</v>
      </c>
      <c r="N38">
        <v>12.95</v>
      </c>
      <c r="O38">
        <v>178.012</v>
      </c>
      <c r="P38">
        <v>88.96</v>
      </c>
      <c r="Q38">
        <v>100</v>
      </c>
      <c r="R38">
        <v>2.2120000000000002</v>
      </c>
      <c r="S38">
        <v>67.92</v>
      </c>
      <c r="T38">
        <v>65.989999999999995</v>
      </c>
      <c r="U38">
        <v>242.68</v>
      </c>
      <c r="V38">
        <v>481.68</v>
      </c>
      <c r="W38">
        <v>1313.21</v>
      </c>
      <c r="X38">
        <v>783.77</v>
      </c>
      <c r="Y38">
        <v>38382.800000000003</v>
      </c>
      <c r="Z38" t="str">
        <v>#N/A N/A</v>
      </c>
      <c r="AA38" t="str">
        <v>#N/A N/A</v>
      </c>
      <c r="AB38" t="str">
        <v>#N/A N/A</v>
      </c>
      <c r="AC38">
        <v>14.964700000000001</v>
      </c>
      <c r="AD38">
        <v>15.2598</v>
      </c>
      <c r="AE38">
        <v>15.8241</v>
      </c>
      <c r="AF38">
        <v>17.100000000000001</v>
      </c>
      <c r="AG38">
        <v>1.2156</v>
      </c>
      <c r="AH38">
        <v>117.2</v>
      </c>
      <c r="AI38">
        <v>1.7793000000000001</v>
      </c>
      <c r="AJ38">
        <v>1.139</v>
      </c>
      <c r="AK38">
        <v>7.5891000000000002</v>
      </c>
      <c r="AL38">
        <v>1.2779</v>
      </c>
      <c r="AM38">
        <v>116.17</v>
      </c>
      <c r="AN38">
        <v>97.48</v>
      </c>
      <c r="AO38">
        <v>105.6</v>
      </c>
      <c r="AP38">
        <v>79.75</v>
      </c>
      <c r="AQ38">
        <v>76.19</v>
      </c>
    </row>
    <row r="39" spans="1:43" x14ac:dyDescent="0.25">
      <c r="A39" s="7">
        <v>38776</v>
      </c>
      <c r="B39">
        <v>4.6155999999999997</v>
      </c>
      <c r="C39" t="str">
        <v>#N/A N/A</v>
      </c>
      <c r="D39">
        <v>2.5720000000000001</v>
      </c>
      <c r="E39">
        <v>4.5999999999999999E-2</v>
      </c>
      <c r="F39">
        <v>4.6745999999999999</v>
      </c>
      <c r="G39">
        <v>4.3369999999999997</v>
      </c>
      <c r="H39">
        <v>3.0209999999999999</v>
      </c>
      <c r="I39">
        <v>0.46500000000000002</v>
      </c>
      <c r="J39">
        <v>4.5510000000000002</v>
      </c>
      <c r="K39">
        <v>4.1900000000000004</v>
      </c>
      <c r="L39">
        <v>3.4889999999999999</v>
      </c>
      <c r="M39">
        <v>1.585</v>
      </c>
      <c r="N39">
        <v>12.34</v>
      </c>
      <c r="O39">
        <v>112.98699999999999</v>
      </c>
      <c r="P39">
        <v>90.11</v>
      </c>
      <c r="Q39">
        <v>99.467299999999994</v>
      </c>
      <c r="R39">
        <v>2.1234999999999999</v>
      </c>
      <c r="S39">
        <v>61.41</v>
      </c>
      <c r="T39">
        <v>61.76</v>
      </c>
      <c r="U39">
        <v>241.94</v>
      </c>
      <c r="V39">
        <v>492.67</v>
      </c>
      <c r="W39">
        <v>1309.45</v>
      </c>
      <c r="X39">
        <v>782.11</v>
      </c>
      <c r="Y39">
        <v>38610.39</v>
      </c>
      <c r="Z39" t="str">
        <v>#N/A N/A</v>
      </c>
      <c r="AA39" t="str">
        <v>#N/A N/A</v>
      </c>
      <c r="AB39" t="str">
        <v>#N/A N/A</v>
      </c>
      <c r="AC39">
        <v>14.124499999999999</v>
      </c>
      <c r="AD39">
        <v>14.538</v>
      </c>
      <c r="AE39">
        <v>15.2082</v>
      </c>
      <c r="AF39">
        <v>17.29</v>
      </c>
      <c r="AG39">
        <v>1.1920999999999999</v>
      </c>
      <c r="AH39">
        <v>115.77</v>
      </c>
      <c r="AI39">
        <v>1.7536</v>
      </c>
      <c r="AJ39">
        <v>1.1369</v>
      </c>
      <c r="AK39">
        <v>7.9119000000000002</v>
      </c>
      <c r="AL39">
        <v>1.3117000000000001</v>
      </c>
      <c r="AM39">
        <v>114.7</v>
      </c>
      <c r="AN39">
        <v>93.47</v>
      </c>
      <c r="AO39">
        <v>106.43</v>
      </c>
      <c r="AP39">
        <v>79.83</v>
      </c>
      <c r="AQ39">
        <v>75.66</v>
      </c>
    </row>
    <row r="40" spans="1:43" x14ac:dyDescent="0.25">
      <c r="A40" s="7">
        <v>38807</v>
      </c>
      <c r="B40">
        <v>4.6022999999999996</v>
      </c>
      <c r="C40" t="str">
        <v>#N/A N/A</v>
      </c>
      <c r="D40">
        <v>2.702</v>
      </c>
      <c r="E40">
        <v>0.08</v>
      </c>
      <c r="F40">
        <v>4.8160999999999996</v>
      </c>
      <c r="G40">
        <v>4.4619999999999997</v>
      </c>
      <c r="H40">
        <v>3.29</v>
      </c>
      <c r="I40">
        <v>0.68</v>
      </c>
      <c r="J40">
        <v>4.8472</v>
      </c>
      <c r="K40">
        <v>4.3979999999999997</v>
      </c>
      <c r="L40">
        <v>3.7709999999999999</v>
      </c>
      <c r="M40">
        <v>1.77</v>
      </c>
      <c r="N40">
        <v>11.39</v>
      </c>
      <c r="O40">
        <v>147.63399999999999</v>
      </c>
      <c r="P40">
        <v>89.73</v>
      </c>
      <c r="Q40">
        <v>100.0048</v>
      </c>
      <c r="R40">
        <v>2.1640000000000001</v>
      </c>
      <c r="S40">
        <v>66.63</v>
      </c>
      <c r="T40">
        <v>65.91</v>
      </c>
      <c r="U40">
        <v>241.3</v>
      </c>
      <c r="V40">
        <v>527.52</v>
      </c>
      <c r="W40">
        <v>1335.07</v>
      </c>
      <c r="X40">
        <v>787.8</v>
      </c>
      <c r="Y40">
        <v>37951.97</v>
      </c>
      <c r="Z40" t="str">
        <v>#N/A N/A</v>
      </c>
      <c r="AA40" t="str">
        <v>#N/A N/A</v>
      </c>
      <c r="AB40" t="str">
        <v>#N/A N/A</v>
      </c>
      <c r="AC40">
        <v>14.552300000000001</v>
      </c>
      <c r="AD40">
        <v>14.646800000000001</v>
      </c>
      <c r="AE40">
        <v>14.815799999999999</v>
      </c>
      <c r="AF40">
        <v>16.510000000000002</v>
      </c>
      <c r="AG40">
        <v>1.2118</v>
      </c>
      <c r="AH40">
        <v>117.78</v>
      </c>
      <c r="AI40">
        <v>1.7372000000000001</v>
      </c>
      <c r="AJ40">
        <v>1.1686000000000001</v>
      </c>
      <c r="AK40">
        <v>7.7953000000000001</v>
      </c>
      <c r="AL40">
        <v>1.3042</v>
      </c>
      <c r="AM40">
        <v>140.82</v>
      </c>
      <c r="AN40">
        <v>107.67</v>
      </c>
      <c r="AO40">
        <v>105.85</v>
      </c>
      <c r="AP40">
        <v>79.67</v>
      </c>
      <c r="AQ40">
        <v>83.59</v>
      </c>
    </row>
    <row r="41" spans="1:43" x14ac:dyDescent="0.25">
      <c r="A41" s="7">
        <v>38835</v>
      </c>
      <c r="B41">
        <v>4.7577999999999996</v>
      </c>
      <c r="C41" t="str">
        <v>#N/A N/A</v>
      </c>
      <c r="D41">
        <v>2.6880000000000002</v>
      </c>
      <c r="E41">
        <v>4.9000000000000002E-2</v>
      </c>
      <c r="F41">
        <v>4.8582999999999998</v>
      </c>
      <c r="G41">
        <v>4.6210000000000004</v>
      </c>
      <c r="H41">
        <v>3.379</v>
      </c>
      <c r="I41">
        <v>0.66500000000000004</v>
      </c>
      <c r="J41">
        <v>5.0505000000000004</v>
      </c>
      <c r="K41">
        <v>4.6349999999999998</v>
      </c>
      <c r="L41">
        <v>3.9510000000000001</v>
      </c>
      <c r="M41">
        <v>1.92</v>
      </c>
      <c r="N41">
        <v>11.59</v>
      </c>
      <c r="O41">
        <v>124.322</v>
      </c>
      <c r="P41">
        <v>86.11</v>
      </c>
      <c r="Q41">
        <v>100.1765</v>
      </c>
      <c r="R41">
        <v>2.0870000000000002</v>
      </c>
      <c r="S41">
        <v>71.88</v>
      </c>
      <c r="T41">
        <v>72.5</v>
      </c>
      <c r="U41">
        <v>250</v>
      </c>
      <c r="V41">
        <v>598.20000000000005</v>
      </c>
      <c r="W41">
        <v>1373.38</v>
      </c>
      <c r="X41">
        <v>841.58</v>
      </c>
      <c r="Y41">
        <v>40363.42</v>
      </c>
      <c r="Z41" t="str">
        <v>#N/A N/A</v>
      </c>
      <c r="AA41" t="str">
        <v>#N/A N/A</v>
      </c>
      <c r="AB41" t="str">
        <v>#N/A N/A</v>
      </c>
      <c r="AC41">
        <v>14.528</v>
      </c>
      <c r="AD41">
        <v>14.6808</v>
      </c>
      <c r="AE41">
        <v>14.6821</v>
      </c>
      <c r="AF41">
        <v>15.7</v>
      </c>
      <c r="AG41">
        <v>1.2635000000000001</v>
      </c>
      <c r="AH41">
        <v>113.83</v>
      </c>
      <c r="AI41">
        <v>1.8259000000000001</v>
      </c>
      <c r="AJ41">
        <v>1.117</v>
      </c>
      <c r="AK41">
        <v>7.3472</v>
      </c>
      <c r="AL41">
        <v>1.2387999999999999</v>
      </c>
      <c r="AM41">
        <v>120.47</v>
      </c>
      <c r="AN41">
        <v>99.83</v>
      </c>
      <c r="AO41">
        <v>106.33</v>
      </c>
      <c r="AP41">
        <v>80.180000000000007</v>
      </c>
      <c r="AQ41">
        <v>79.040000000000006</v>
      </c>
    </row>
    <row r="42" spans="1:43" x14ac:dyDescent="0.25">
      <c r="A42" s="7">
        <v>38868</v>
      </c>
      <c r="B42">
        <v>4.8330000000000002</v>
      </c>
      <c r="C42" t="str">
        <v>#N/A N/A</v>
      </c>
      <c r="D42">
        <v>2.8</v>
      </c>
      <c r="E42">
        <v>0.29799999999999999</v>
      </c>
      <c r="F42">
        <v>5.0330000000000004</v>
      </c>
      <c r="G42">
        <v>4.6980000000000004</v>
      </c>
      <c r="H42">
        <v>3.355</v>
      </c>
      <c r="I42">
        <v>0.83</v>
      </c>
      <c r="J42">
        <v>5.1185999999999998</v>
      </c>
      <c r="K42">
        <v>4.5910000000000002</v>
      </c>
      <c r="L42">
        <v>3.9820000000000002</v>
      </c>
      <c r="M42">
        <v>1.83</v>
      </c>
      <c r="N42">
        <v>16.440000000000001</v>
      </c>
      <c r="O42">
        <v>189.827</v>
      </c>
      <c r="P42">
        <v>84.72</v>
      </c>
      <c r="Q42">
        <v>100.0994</v>
      </c>
      <c r="R42">
        <v>2.3069999999999999</v>
      </c>
      <c r="S42">
        <v>71.290000000000006</v>
      </c>
      <c r="T42">
        <v>70.41</v>
      </c>
      <c r="U42">
        <v>249.23</v>
      </c>
      <c r="V42">
        <v>640.48</v>
      </c>
      <c r="W42">
        <v>1322.25</v>
      </c>
      <c r="X42">
        <v>751</v>
      </c>
      <c r="Y42">
        <v>36530.04</v>
      </c>
      <c r="Z42" t="str">
        <v>#N/A N/A</v>
      </c>
      <c r="AA42" t="str">
        <v>#N/A N/A</v>
      </c>
      <c r="AB42" t="str">
        <v>#N/A N/A</v>
      </c>
      <c r="AC42">
        <v>16.227499999999999</v>
      </c>
      <c r="AD42">
        <v>16.111799999999999</v>
      </c>
      <c r="AE42">
        <v>15.5032</v>
      </c>
      <c r="AF42">
        <v>15.65</v>
      </c>
      <c r="AG42">
        <v>1.2809999999999999</v>
      </c>
      <c r="AH42">
        <v>112.64</v>
      </c>
      <c r="AI42">
        <v>1.8697999999999999</v>
      </c>
      <c r="AJ42">
        <v>1.1015999999999999</v>
      </c>
      <c r="AK42">
        <v>7.2328000000000001</v>
      </c>
      <c r="AL42">
        <v>1.2192000000000001</v>
      </c>
      <c r="AM42">
        <v>138.34</v>
      </c>
      <c r="AN42">
        <v>111.11</v>
      </c>
      <c r="AO42">
        <v>107.11</v>
      </c>
      <c r="AP42">
        <v>81.2</v>
      </c>
      <c r="AQ42">
        <v>82.26</v>
      </c>
    </row>
    <row r="43" spans="1:43" x14ac:dyDescent="0.25">
      <c r="A43" s="7">
        <v>38898</v>
      </c>
      <c r="B43">
        <v>4.9756999999999998</v>
      </c>
      <c r="C43" t="str">
        <v>#N/A N/A</v>
      </c>
      <c r="D43">
        <v>2.9580000000000002</v>
      </c>
      <c r="E43">
        <v>0.33</v>
      </c>
      <c r="F43">
        <v>5.1497999999999999</v>
      </c>
      <c r="G43">
        <v>4.7709999999999999</v>
      </c>
      <c r="H43">
        <v>3.5739999999999998</v>
      </c>
      <c r="I43">
        <v>0.84</v>
      </c>
      <c r="J43">
        <v>5.1364000000000001</v>
      </c>
      <c r="K43">
        <v>4.71</v>
      </c>
      <c r="L43">
        <v>4.0709999999999997</v>
      </c>
      <c r="M43">
        <v>1.92</v>
      </c>
      <c r="N43">
        <v>13.08</v>
      </c>
      <c r="O43">
        <v>171.46899999999999</v>
      </c>
      <c r="P43">
        <v>85.16</v>
      </c>
      <c r="Q43">
        <v>101.51739999999999</v>
      </c>
      <c r="R43">
        <v>2.165</v>
      </c>
      <c r="S43">
        <v>73.930000000000007</v>
      </c>
      <c r="T43">
        <v>73.510000000000005</v>
      </c>
      <c r="U43">
        <v>261.89</v>
      </c>
      <c r="V43">
        <v>627.15</v>
      </c>
      <c r="W43">
        <v>1319.93</v>
      </c>
      <c r="X43">
        <v>747.54</v>
      </c>
      <c r="Y43">
        <v>36630.660000000003</v>
      </c>
      <c r="Z43" t="str">
        <v>#N/A N/A</v>
      </c>
      <c r="AA43" t="str">
        <v>#N/A N/A</v>
      </c>
      <c r="AB43" t="str">
        <v>#N/A N/A</v>
      </c>
      <c r="AC43">
        <v>15.416700000000001</v>
      </c>
      <c r="AD43">
        <v>15.3142</v>
      </c>
      <c r="AE43">
        <v>14.7974</v>
      </c>
      <c r="AF43">
        <v>15.18</v>
      </c>
      <c r="AG43">
        <v>1.2790999999999999</v>
      </c>
      <c r="AH43">
        <v>114.44</v>
      </c>
      <c r="AI43">
        <v>1.8483000000000001</v>
      </c>
      <c r="AJ43">
        <v>1.117</v>
      </c>
      <c r="AK43">
        <v>7.1966000000000001</v>
      </c>
      <c r="AL43">
        <v>1.2231000000000001</v>
      </c>
      <c r="AM43">
        <v>132.36000000000001</v>
      </c>
      <c r="AN43">
        <v>106.16</v>
      </c>
      <c r="AO43">
        <v>105.72</v>
      </c>
      <c r="AP43">
        <v>80.349999999999994</v>
      </c>
      <c r="AQ43">
        <v>80.3</v>
      </c>
    </row>
    <row r="44" spans="1:43" x14ac:dyDescent="0.25">
      <c r="A44" s="7">
        <v>38929</v>
      </c>
      <c r="B44">
        <v>5.0683999999999996</v>
      </c>
      <c r="C44" t="str">
        <v>#N/A N/A</v>
      </c>
      <c r="D44">
        <v>3.06</v>
      </c>
      <c r="E44">
        <v>0.35899999999999999</v>
      </c>
      <c r="F44">
        <v>4.95</v>
      </c>
      <c r="G44">
        <v>4.7309999999999999</v>
      </c>
      <c r="H44">
        <v>3.512</v>
      </c>
      <c r="I44">
        <v>0.82399999999999995</v>
      </c>
      <c r="J44">
        <v>4.9794</v>
      </c>
      <c r="K44">
        <v>4.6050000000000004</v>
      </c>
      <c r="L44">
        <v>3.9209999999999998</v>
      </c>
      <c r="M44">
        <v>1.919</v>
      </c>
      <c r="N44">
        <v>14.95</v>
      </c>
      <c r="O44">
        <v>138.06100000000001</v>
      </c>
      <c r="P44">
        <v>85.3</v>
      </c>
      <c r="Q44">
        <v>100.28830000000001</v>
      </c>
      <c r="R44">
        <v>2.177</v>
      </c>
      <c r="S44">
        <v>74.400000000000006</v>
      </c>
      <c r="T44">
        <v>75.150000000000006</v>
      </c>
      <c r="U44">
        <v>260.26</v>
      </c>
      <c r="V44">
        <v>623.16</v>
      </c>
      <c r="W44">
        <v>1327.23</v>
      </c>
      <c r="X44">
        <v>755.84</v>
      </c>
      <c r="Y44">
        <v>37077.120000000003</v>
      </c>
      <c r="Z44" t="str">
        <v>#N/A N/A</v>
      </c>
      <c r="AA44" t="str">
        <v>#N/A N/A</v>
      </c>
      <c r="AB44" t="str">
        <v>#N/A N/A</v>
      </c>
      <c r="AC44">
        <v>14.8027</v>
      </c>
      <c r="AD44">
        <v>14.737</v>
      </c>
      <c r="AE44">
        <v>14.484999999999999</v>
      </c>
      <c r="AF44">
        <v>14.63</v>
      </c>
      <c r="AG44">
        <v>1.2766999999999999</v>
      </c>
      <c r="AH44">
        <v>114.68</v>
      </c>
      <c r="AI44">
        <v>1.8676999999999999</v>
      </c>
      <c r="AJ44">
        <v>1.1313</v>
      </c>
      <c r="AK44">
        <v>7.2098000000000004</v>
      </c>
      <c r="AL44">
        <v>1.2312000000000001</v>
      </c>
      <c r="AM44">
        <v>134.34</v>
      </c>
      <c r="AN44">
        <v>109.26</v>
      </c>
      <c r="AO44">
        <v>106.57</v>
      </c>
      <c r="AP44">
        <v>81.790000000000006</v>
      </c>
      <c r="AQ44">
        <v>83.81</v>
      </c>
    </row>
    <row r="45" spans="1:43" x14ac:dyDescent="0.25">
      <c r="A45" s="7">
        <v>38960</v>
      </c>
      <c r="B45">
        <v>5.0297000000000001</v>
      </c>
      <c r="C45" t="str">
        <v>#N/A N/A</v>
      </c>
      <c r="D45">
        <v>3.1840000000000002</v>
      </c>
      <c r="E45">
        <v>0.35199999999999998</v>
      </c>
      <c r="F45">
        <v>4.7754000000000003</v>
      </c>
      <c r="G45">
        <v>4.8760000000000003</v>
      </c>
      <c r="H45">
        <v>3.5219999999999998</v>
      </c>
      <c r="I45">
        <v>0.64</v>
      </c>
      <c r="J45">
        <v>4.7257999999999996</v>
      </c>
      <c r="K45">
        <v>4.516</v>
      </c>
      <c r="L45">
        <v>3.76</v>
      </c>
      <c r="M45">
        <v>1.62</v>
      </c>
      <c r="N45">
        <v>12.31</v>
      </c>
      <c r="O45">
        <v>123</v>
      </c>
      <c r="P45">
        <v>85.05</v>
      </c>
      <c r="Q45">
        <v>99.8185</v>
      </c>
      <c r="R45">
        <v>2.145</v>
      </c>
      <c r="S45">
        <v>70.260000000000005</v>
      </c>
      <c r="T45">
        <v>70.25</v>
      </c>
      <c r="U45">
        <v>272.61</v>
      </c>
      <c r="V45">
        <v>616.9</v>
      </c>
      <c r="W45">
        <v>1358.87</v>
      </c>
      <c r="X45">
        <v>773.12</v>
      </c>
      <c r="Y45">
        <v>36232.22</v>
      </c>
      <c r="Z45" t="str">
        <v>#N/A N/A</v>
      </c>
      <c r="AA45" t="str">
        <v>#N/A N/A</v>
      </c>
      <c r="AB45" t="str">
        <v>#N/A N/A</v>
      </c>
      <c r="AC45">
        <v>14.7387</v>
      </c>
      <c r="AD45">
        <v>14.125400000000001</v>
      </c>
      <c r="AE45">
        <v>13.953099999999999</v>
      </c>
      <c r="AF45">
        <v>14.11</v>
      </c>
      <c r="AG45">
        <v>1.2813000000000001</v>
      </c>
      <c r="AH45">
        <v>117.4</v>
      </c>
      <c r="AI45">
        <v>1.9047000000000001</v>
      </c>
      <c r="AJ45">
        <v>1.1036999999999999</v>
      </c>
      <c r="AK45">
        <v>7.2450999999999999</v>
      </c>
      <c r="AL45">
        <v>1.2304999999999999</v>
      </c>
      <c r="AM45">
        <v>146.5</v>
      </c>
      <c r="AN45">
        <v>114.86</v>
      </c>
      <c r="AO45">
        <v>106.4</v>
      </c>
      <c r="AP45">
        <v>81.8</v>
      </c>
      <c r="AQ45">
        <v>84.97</v>
      </c>
    </row>
    <row r="46" spans="1:43" x14ac:dyDescent="0.25">
      <c r="A46" s="7">
        <v>38989</v>
      </c>
      <c r="B46">
        <v>4.8719000000000001</v>
      </c>
      <c r="C46" t="str">
        <v>#N/A N/A</v>
      </c>
      <c r="D46">
        <v>3.3039999999999998</v>
      </c>
      <c r="E46">
        <v>0.33500000000000002</v>
      </c>
      <c r="F46">
        <v>4.6829000000000001</v>
      </c>
      <c r="G46">
        <v>4.915</v>
      </c>
      <c r="H46">
        <v>3.585</v>
      </c>
      <c r="I46">
        <v>0.65</v>
      </c>
      <c r="J46">
        <v>4.6276000000000002</v>
      </c>
      <c r="K46">
        <v>4.5229999999999997</v>
      </c>
      <c r="L46">
        <v>3.7090000000000001</v>
      </c>
      <c r="M46">
        <v>1.665</v>
      </c>
      <c r="N46">
        <v>11.98</v>
      </c>
      <c r="O46">
        <v>134.43799999999999</v>
      </c>
      <c r="P46">
        <v>86.03</v>
      </c>
      <c r="Q46">
        <v>99.867900000000006</v>
      </c>
      <c r="R46">
        <v>2.169</v>
      </c>
      <c r="S46">
        <v>62.91</v>
      </c>
      <c r="T46">
        <v>62.48</v>
      </c>
      <c r="U46">
        <v>267.98</v>
      </c>
      <c r="V46">
        <v>636.97</v>
      </c>
      <c r="W46">
        <v>1373.37</v>
      </c>
      <c r="X46">
        <v>778.16</v>
      </c>
      <c r="Y46">
        <v>36449.4</v>
      </c>
      <c r="Z46" t="str">
        <v>#N/A N/A</v>
      </c>
      <c r="AA46" t="str">
        <v>#N/A N/A</v>
      </c>
      <c r="AB46" t="str">
        <v>#N/A N/A</v>
      </c>
      <c r="AC46">
        <v>13.957800000000001</v>
      </c>
      <c r="AD46">
        <v>13.812099999999999</v>
      </c>
      <c r="AE46">
        <v>13.5616</v>
      </c>
      <c r="AF46">
        <v>14.18</v>
      </c>
      <c r="AG46">
        <v>1.2674000000000001</v>
      </c>
      <c r="AH46">
        <v>118.18</v>
      </c>
      <c r="AI46">
        <v>1.8721000000000001</v>
      </c>
      <c r="AJ46">
        <v>1.1180000000000001</v>
      </c>
      <c r="AK46">
        <v>7.3329000000000004</v>
      </c>
      <c r="AL46">
        <v>1.2505999999999999</v>
      </c>
      <c r="AM46">
        <v>136.41</v>
      </c>
      <c r="AN46">
        <v>108.66</v>
      </c>
      <c r="AO46">
        <v>105.19</v>
      </c>
      <c r="AP46">
        <v>81.97</v>
      </c>
      <c r="AQ46">
        <v>81.569999999999993</v>
      </c>
    </row>
    <row r="47" spans="1:43" x14ac:dyDescent="0.25">
      <c r="A47" s="7">
        <v>39021</v>
      </c>
      <c r="B47">
        <v>5.0727000000000002</v>
      </c>
      <c r="C47" t="str">
        <v>#N/A N/A</v>
      </c>
      <c r="D47">
        <v>3.3769999999999998</v>
      </c>
      <c r="E47">
        <v>0.36599999999999999</v>
      </c>
      <c r="F47">
        <v>4.6925999999999997</v>
      </c>
      <c r="G47">
        <v>5.032</v>
      </c>
      <c r="H47">
        <v>3.6779999999999999</v>
      </c>
      <c r="I47">
        <v>0.72499999999999998</v>
      </c>
      <c r="J47">
        <v>4.5980999999999996</v>
      </c>
      <c r="K47">
        <v>4.5110000000000001</v>
      </c>
      <c r="L47">
        <v>3.7410000000000001</v>
      </c>
      <c r="M47">
        <v>1.71</v>
      </c>
      <c r="N47">
        <v>11.1</v>
      </c>
      <c r="O47">
        <v>113.47799999999999</v>
      </c>
      <c r="P47">
        <v>85.32</v>
      </c>
      <c r="Q47">
        <v>99.404300000000006</v>
      </c>
      <c r="R47">
        <v>2.1417999999999999</v>
      </c>
      <c r="S47">
        <v>58.73</v>
      </c>
      <c r="T47">
        <v>59.03</v>
      </c>
      <c r="U47">
        <v>265.89999999999998</v>
      </c>
      <c r="V47">
        <v>692</v>
      </c>
      <c r="W47">
        <v>1422.93</v>
      </c>
      <c r="X47">
        <v>814.44</v>
      </c>
      <c r="Y47">
        <v>39262.79</v>
      </c>
      <c r="Z47" t="str">
        <v>#N/A N/A</v>
      </c>
      <c r="AA47" t="str">
        <v>#N/A N/A</v>
      </c>
      <c r="AB47" t="str">
        <v>#N/A N/A</v>
      </c>
      <c r="AC47">
        <v>13.263400000000001</v>
      </c>
      <c r="AD47">
        <v>13.186</v>
      </c>
      <c r="AE47">
        <v>13.01</v>
      </c>
      <c r="AF47">
        <v>13.65</v>
      </c>
      <c r="AG47">
        <v>1.2762</v>
      </c>
      <c r="AH47">
        <v>116.98</v>
      </c>
      <c r="AI47">
        <v>1.9074</v>
      </c>
      <c r="AJ47">
        <v>1.1222000000000001</v>
      </c>
      <c r="AK47">
        <v>7.2233000000000001</v>
      </c>
      <c r="AL47">
        <v>1.2442</v>
      </c>
      <c r="AM47">
        <v>144.54</v>
      </c>
      <c r="AN47">
        <v>113.57</v>
      </c>
      <c r="AO47">
        <v>106.23</v>
      </c>
      <c r="AP47">
        <v>82.91</v>
      </c>
      <c r="AQ47">
        <v>83.76</v>
      </c>
    </row>
    <row r="48" spans="1:43" x14ac:dyDescent="0.25">
      <c r="A48" s="7">
        <v>39051</v>
      </c>
      <c r="B48">
        <v>5.0193000000000003</v>
      </c>
      <c r="C48" t="str">
        <v>#N/A N/A</v>
      </c>
      <c r="D48">
        <v>3.5609999999999999</v>
      </c>
      <c r="E48">
        <v>0.44700000000000001</v>
      </c>
      <c r="F48">
        <v>4.6083999999999996</v>
      </c>
      <c r="G48">
        <v>5.0330000000000004</v>
      </c>
      <c r="H48">
        <v>3.6579999999999999</v>
      </c>
      <c r="I48">
        <v>0.81100000000000005</v>
      </c>
      <c r="J48">
        <v>4.4581</v>
      </c>
      <c r="K48">
        <v>4.5129999999999999</v>
      </c>
      <c r="L48">
        <v>3.6949999999999998</v>
      </c>
      <c r="M48">
        <v>1.645</v>
      </c>
      <c r="N48">
        <v>10.91</v>
      </c>
      <c r="O48">
        <v>110.133</v>
      </c>
      <c r="P48">
        <v>82.95</v>
      </c>
      <c r="Q48">
        <v>98.887100000000004</v>
      </c>
      <c r="R48">
        <v>2.1648999999999998</v>
      </c>
      <c r="S48">
        <v>63.13</v>
      </c>
      <c r="T48">
        <v>64.260000000000005</v>
      </c>
      <c r="U48">
        <v>276.91000000000003</v>
      </c>
      <c r="V48">
        <v>688.75</v>
      </c>
      <c r="W48">
        <v>1455.17</v>
      </c>
      <c r="X48">
        <v>874.08</v>
      </c>
      <c r="Y48">
        <v>41931.839999999997</v>
      </c>
      <c r="Z48" t="str">
        <v>#N/A N/A</v>
      </c>
      <c r="AA48" t="str">
        <v>#N/A N/A</v>
      </c>
      <c r="AB48" t="str">
        <v>#N/A N/A</v>
      </c>
      <c r="AC48">
        <v>13.099600000000001</v>
      </c>
      <c r="AD48">
        <v>12.918200000000001</v>
      </c>
      <c r="AE48">
        <v>12.7476</v>
      </c>
      <c r="AF48">
        <v>13.13</v>
      </c>
      <c r="AG48">
        <v>1.3242</v>
      </c>
      <c r="AH48">
        <v>115.81</v>
      </c>
      <c r="AI48">
        <v>1.9659</v>
      </c>
      <c r="AJ48">
        <v>1.1403000000000001</v>
      </c>
      <c r="AK48">
        <v>6.8479999999999999</v>
      </c>
      <c r="AL48">
        <v>1.1978</v>
      </c>
      <c r="AM48">
        <v>146.80000000000001</v>
      </c>
      <c r="AN48">
        <v>111.7</v>
      </c>
      <c r="AO48">
        <v>107.55</v>
      </c>
      <c r="AP48">
        <v>83.46</v>
      </c>
      <c r="AQ48">
        <v>83.3</v>
      </c>
    </row>
    <row r="49" spans="1:43" x14ac:dyDescent="0.25">
      <c r="A49" s="7">
        <v>39080</v>
      </c>
      <c r="B49">
        <v>5.0061</v>
      </c>
      <c r="C49" t="str">
        <v>#N/A N/A</v>
      </c>
      <c r="D49">
        <v>3.6080000000000001</v>
      </c>
      <c r="E49">
        <v>0.47199999999999998</v>
      </c>
      <c r="F49">
        <v>4.8079999999999998</v>
      </c>
      <c r="G49">
        <v>5.2060000000000004</v>
      </c>
      <c r="H49">
        <v>3.903</v>
      </c>
      <c r="I49">
        <v>0.80500000000000005</v>
      </c>
      <c r="J49">
        <v>4.7022000000000004</v>
      </c>
      <c r="K49">
        <v>4.7409999999999997</v>
      </c>
      <c r="L49">
        <v>3.948</v>
      </c>
      <c r="M49">
        <v>1.6850000000000001</v>
      </c>
      <c r="N49">
        <v>11.56</v>
      </c>
      <c r="O49">
        <v>99.582999999999998</v>
      </c>
      <c r="P49">
        <v>83.65</v>
      </c>
      <c r="Q49">
        <v>98.119600000000005</v>
      </c>
      <c r="R49">
        <v>2.1364000000000001</v>
      </c>
      <c r="S49">
        <v>61.05</v>
      </c>
      <c r="T49">
        <v>60.86</v>
      </c>
      <c r="U49">
        <v>275.99</v>
      </c>
      <c r="V49">
        <v>693.88</v>
      </c>
      <c r="W49">
        <v>1483.58</v>
      </c>
      <c r="X49">
        <v>912.65</v>
      </c>
      <c r="Y49">
        <v>44473.71</v>
      </c>
      <c r="Z49" t="str">
        <v>#N/A N/A</v>
      </c>
      <c r="AA49" t="str">
        <v>#N/A N/A</v>
      </c>
      <c r="AB49" t="str">
        <v>#N/A N/A</v>
      </c>
      <c r="AC49">
        <v>12.438499999999999</v>
      </c>
      <c r="AD49">
        <v>12.3095</v>
      </c>
      <c r="AE49">
        <v>12.37</v>
      </c>
      <c r="AF49">
        <v>13.17</v>
      </c>
      <c r="AG49">
        <v>1.3197000000000001</v>
      </c>
      <c r="AH49">
        <v>119.06</v>
      </c>
      <c r="AI49">
        <v>1.9588000000000001</v>
      </c>
      <c r="AJ49">
        <v>1.1657</v>
      </c>
      <c r="AK49">
        <v>6.8484999999999996</v>
      </c>
      <c r="AL49">
        <v>1.2201</v>
      </c>
      <c r="AM49">
        <v>135.77000000000001</v>
      </c>
      <c r="AN49">
        <v>101.35</v>
      </c>
      <c r="AO49">
        <v>108.22</v>
      </c>
      <c r="AP49">
        <v>84.51</v>
      </c>
      <c r="AQ49">
        <v>81.63</v>
      </c>
    </row>
    <row r="50" spans="1:43" x14ac:dyDescent="0.25">
      <c r="A50" s="7">
        <v>39113</v>
      </c>
      <c r="B50">
        <v>5.1031000000000004</v>
      </c>
      <c r="C50" t="str">
        <v>#N/A N/A</v>
      </c>
      <c r="D50">
        <v>3.7120000000000002</v>
      </c>
      <c r="E50">
        <v>0.44700000000000001</v>
      </c>
      <c r="F50">
        <v>4.9165000000000001</v>
      </c>
      <c r="G50">
        <v>5.4779999999999998</v>
      </c>
      <c r="H50">
        <v>3.968</v>
      </c>
      <c r="I50">
        <v>0.70599999999999996</v>
      </c>
      <c r="J50">
        <v>4.8079999999999998</v>
      </c>
      <c r="K50">
        <v>4.976</v>
      </c>
      <c r="L50">
        <v>4.0999999999999996</v>
      </c>
      <c r="M50">
        <v>1.704</v>
      </c>
      <c r="N50">
        <v>10.42</v>
      </c>
      <c r="O50">
        <v>98.213999999999999</v>
      </c>
      <c r="P50">
        <v>84.6</v>
      </c>
      <c r="Q50">
        <v>98.288200000000003</v>
      </c>
      <c r="R50">
        <v>2.1229</v>
      </c>
      <c r="S50">
        <v>58.14</v>
      </c>
      <c r="T50">
        <v>57.4</v>
      </c>
      <c r="U50">
        <v>279.52</v>
      </c>
      <c r="V50">
        <v>677.74</v>
      </c>
      <c r="W50">
        <v>1500.23</v>
      </c>
      <c r="X50">
        <v>901.48</v>
      </c>
      <c r="Y50">
        <v>44641.599999999999</v>
      </c>
      <c r="Z50" t="str">
        <v>#N/A N/A</v>
      </c>
      <c r="AA50" t="str">
        <v>#N/A N/A</v>
      </c>
      <c r="AB50" t="str">
        <v>#N/A N/A</v>
      </c>
      <c r="AC50">
        <v>12.1754</v>
      </c>
      <c r="AD50">
        <v>12.2934</v>
      </c>
      <c r="AE50">
        <v>12.347</v>
      </c>
      <c r="AF50">
        <v>12.91</v>
      </c>
      <c r="AG50">
        <v>1.3031999999999999</v>
      </c>
      <c r="AH50">
        <v>120.7</v>
      </c>
      <c r="AI50">
        <v>1.9655</v>
      </c>
      <c r="AJ50">
        <v>1.1769000000000001</v>
      </c>
      <c r="AK50">
        <v>6.9489999999999998</v>
      </c>
      <c r="AL50">
        <v>1.2441</v>
      </c>
      <c r="AM50">
        <v>136.75</v>
      </c>
      <c r="AN50">
        <v>101.39</v>
      </c>
      <c r="AO50">
        <v>108.05</v>
      </c>
      <c r="AP50">
        <v>84.23</v>
      </c>
      <c r="AQ50">
        <v>80.569999999999993</v>
      </c>
    </row>
    <row r="51" spans="1:43" x14ac:dyDescent="0.25">
      <c r="A51" s="7">
        <v>39141</v>
      </c>
      <c r="B51">
        <v>5.1238999999999999</v>
      </c>
      <c r="C51" t="str">
        <v>#N/A N/A</v>
      </c>
      <c r="D51">
        <v>3.8090000000000002</v>
      </c>
      <c r="E51">
        <v>0.61299999999999999</v>
      </c>
      <c r="F51">
        <v>4.6422999999999996</v>
      </c>
      <c r="G51">
        <v>5.3209999999999997</v>
      </c>
      <c r="H51">
        <v>3.8759999999999999</v>
      </c>
      <c r="I51">
        <v>0.83499999999999996</v>
      </c>
      <c r="J51">
        <v>4.5656999999999996</v>
      </c>
      <c r="K51">
        <v>4.7969999999999997</v>
      </c>
      <c r="L51">
        <v>3.9569999999999999</v>
      </c>
      <c r="M51">
        <v>1.6359999999999999</v>
      </c>
      <c r="N51">
        <v>15.42</v>
      </c>
      <c r="O51">
        <v>94.978999999999999</v>
      </c>
      <c r="P51">
        <v>83.57</v>
      </c>
      <c r="Q51">
        <v>97.999899999999997</v>
      </c>
      <c r="R51">
        <v>2.1204999999999998</v>
      </c>
      <c r="S51">
        <v>61.79</v>
      </c>
      <c r="T51">
        <v>61.89</v>
      </c>
      <c r="U51">
        <v>290.79000000000002</v>
      </c>
      <c r="V51">
        <v>712.36</v>
      </c>
      <c r="W51">
        <v>1490.44</v>
      </c>
      <c r="X51">
        <v>895.54</v>
      </c>
      <c r="Y51">
        <v>43892.31</v>
      </c>
      <c r="Z51" t="str">
        <v>#N/A N/A</v>
      </c>
      <c r="AA51" t="str">
        <v>#N/A N/A</v>
      </c>
      <c r="AB51" t="str">
        <v>#N/A N/A</v>
      </c>
      <c r="AC51">
        <v>11.8491</v>
      </c>
      <c r="AD51">
        <v>11.9533</v>
      </c>
      <c r="AE51">
        <v>12.0847</v>
      </c>
      <c r="AF51">
        <v>12.9</v>
      </c>
      <c r="AG51">
        <v>1.3229</v>
      </c>
      <c r="AH51">
        <v>118.56</v>
      </c>
      <c r="AI51">
        <v>1.9639</v>
      </c>
      <c r="AJ51">
        <v>1.1698999999999999</v>
      </c>
      <c r="AK51">
        <v>6.9949000000000003</v>
      </c>
      <c r="AL51">
        <v>1.2196</v>
      </c>
      <c r="AM51">
        <v>131.25</v>
      </c>
      <c r="AN51">
        <v>96.23</v>
      </c>
      <c r="AO51">
        <v>109.35</v>
      </c>
      <c r="AP51">
        <v>84.46</v>
      </c>
      <c r="AQ51">
        <v>79.540000000000006</v>
      </c>
    </row>
    <row r="52" spans="1:43" x14ac:dyDescent="0.25">
      <c r="A52" s="7">
        <v>39171</v>
      </c>
      <c r="B52">
        <v>5.0275999999999996</v>
      </c>
      <c r="C52" t="str">
        <v>#N/A N/A</v>
      </c>
      <c r="D52">
        <v>3.9009999999999998</v>
      </c>
      <c r="E52">
        <v>0.58499999999999996</v>
      </c>
      <c r="F52">
        <v>4.5743999999999998</v>
      </c>
      <c r="G52">
        <v>5.4390000000000001</v>
      </c>
      <c r="H52">
        <v>4.016</v>
      </c>
      <c r="I52">
        <v>0.82</v>
      </c>
      <c r="J52">
        <v>4.6443000000000003</v>
      </c>
      <c r="K52">
        <v>4.9690000000000003</v>
      </c>
      <c r="L52">
        <v>4.0570000000000004</v>
      </c>
      <c r="M52">
        <v>1.659</v>
      </c>
      <c r="N52">
        <v>14.64</v>
      </c>
      <c r="O52">
        <v>83.299000000000007</v>
      </c>
      <c r="P52">
        <v>82.93</v>
      </c>
      <c r="Q52">
        <v>98.091899999999995</v>
      </c>
      <c r="R52">
        <v>2.0594000000000001</v>
      </c>
      <c r="S52">
        <v>65.87</v>
      </c>
      <c r="T52">
        <v>68.099999999999994</v>
      </c>
      <c r="U52">
        <v>302.64999999999998</v>
      </c>
      <c r="V52">
        <v>773.13</v>
      </c>
      <c r="W52">
        <v>1514.18</v>
      </c>
      <c r="X52">
        <v>929.03</v>
      </c>
      <c r="Y52">
        <v>45804.66</v>
      </c>
      <c r="Z52" t="str">
        <v>#N/A N/A</v>
      </c>
      <c r="AA52" t="str">
        <v>#N/A N/A</v>
      </c>
      <c r="AB52" t="str">
        <v>#N/A N/A</v>
      </c>
      <c r="AC52">
        <v>11.543699999999999</v>
      </c>
      <c r="AD52">
        <v>11.59</v>
      </c>
      <c r="AE52">
        <v>11.836399999999999</v>
      </c>
      <c r="AF52">
        <v>12.66</v>
      </c>
      <c r="AG52">
        <v>1.3353999999999999</v>
      </c>
      <c r="AH52">
        <v>117.83</v>
      </c>
      <c r="AI52">
        <v>1.9678</v>
      </c>
      <c r="AJ52">
        <v>1.1539999999999999</v>
      </c>
      <c r="AK52">
        <v>6.9833999999999996</v>
      </c>
      <c r="AL52">
        <v>1.2155</v>
      </c>
      <c r="AM52">
        <v>158.65</v>
      </c>
      <c r="AN52">
        <v>112.39</v>
      </c>
      <c r="AO52">
        <v>110.8</v>
      </c>
      <c r="AP52">
        <v>83.87</v>
      </c>
      <c r="AQ52">
        <v>87.81</v>
      </c>
    </row>
    <row r="53" spans="1:43" x14ac:dyDescent="0.25">
      <c r="A53" s="7">
        <v>39202</v>
      </c>
      <c r="B53">
        <v>4.8400999999999996</v>
      </c>
      <c r="C53" t="str">
        <v>#N/A N/A</v>
      </c>
      <c r="D53">
        <v>3.9159999999999999</v>
      </c>
      <c r="E53">
        <v>0.60799999999999998</v>
      </c>
      <c r="F53">
        <v>4.5910000000000002</v>
      </c>
      <c r="G53">
        <v>5.5129999999999999</v>
      </c>
      <c r="H53">
        <v>4.1280000000000001</v>
      </c>
      <c r="I53">
        <v>0.871</v>
      </c>
      <c r="J53">
        <v>4.6222000000000003</v>
      </c>
      <c r="K53">
        <v>5.0430000000000001</v>
      </c>
      <c r="L53">
        <v>4.1539999999999999</v>
      </c>
      <c r="M53">
        <v>1.66</v>
      </c>
      <c r="N53">
        <v>14.22</v>
      </c>
      <c r="O53">
        <v>71.286000000000001</v>
      </c>
      <c r="P53">
        <v>81.447000000000003</v>
      </c>
      <c r="Q53">
        <v>97.144599999999997</v>
      </c>
      <c r="R53">
        <v>2.0345</v>
      </c>
      <c r="S53">
        <v>65.709999999999994</v>
      </c>
      <c r="T53">
        <v>67.650000000000006</v>
      </c>
      <c r="U53">
        <v>303.70999999999998</v>
      </c>
      <c r="V53">
        <v>799.6</v>
      </c>
      <c r="W53">
        <v>1577.86</v>
      </c>
      <c r="X53">
        <v>969.93</v>
      </c>
      <c r="Y53">
        <v>48956.39</v>
      </c>
      <c r="Z53" t="str">
        <v>#N/A N/A</v>
      </c>
      <c r="AA53" t="str">
        <v>#N/A N/A</v>
      </c>
      <c r="AB53" t="str">
        <v>#N/A N/A</v>
      </c>
      <c r="AC53">
        <v>10.6775</v>
      </c>
      <c r="AD53">
        <v>10.901899999999999</v>
      </c>
      <c r="AE53">
        <v>11.294600000000001</v>
      </c>
      <c r="AF53">
        <v>12.33</v>
      </c>
      <c r="AG53">
        <v>1.3648</v>
      </c>
      <c r="AH53">
        <v>119.53</v>
      </c>
      <c r="AI53">
        <v>1.9995000000000001</v>
      </c>
      <c r="AJ53">
        <v>1.1096999999999999</v>
      </c>
      <c r="AK53">
        <v>6.6977000000000002</v>
      </c>
      <c r="AL53">
        <v>1.2073</v>
      </c>
      <c r="AM53">
        <v>142.27000000000001</v>
      </c>
      <c r="AN53">
        <v>105.59</v>
      </c>
      <c r="AO53">
        <v>111.93</v>
      </c>
      <c r="AP53">
        <v>84.99</v>
      </c>
      <c r="AQ53">
        <v>84.43</v>
      </c>
    </row>
    <row r="54" spans="1:43" x14ac:dyDescent="0.25">
      <c r="A54" s="7">
        <v>39233</v>
      </c>
      <c r="B54">
        <v>4.7310999999999996</v>
      </c>
      <c r="C54" t="str">
        <v>#N/A N/A</v>
      </c>
      <c r="D54">
        <v>4.0750000000000002</v>
      </c>
      <c r="E54">
        <v>0.59</v>
      </c>
      <c r="F54">
        <v>4.9081000000000001</v>
      </c>
      <c r="G54">
        <v>5.7460000000000004</v>
      </c>
      <c r="H54">
        <v>4.3940000000000001</v>
      </c>
      <c r="I54">
        <v>0.98399999999999999</v>
      </c>
      <c r="J54">
        <v>4.8879000000000001</v>
      </c>
      <c r="K54">
        <v>5.2549999999999999</v>
      </c>
      <c r="L54">
        <v>4.4219999999999997</v>
      </c>
      <c r="M54">
        <v>1.7529999999999999</v>
      </c>
      <c r="N54">
        <v>13.05</v>
      </c>
      <c r="O54">
        <v>62.156999999999996</v>
      </c>
      <c r="P54">
        <v>82.301000000000002</v>
      </c>
      <c r="Q54">
        <v>96.151700000000005</v>
      </c>
      <c r="R54">
        <v>1.9246000000000001</v>
      </c>
      <c r="S54">
        <v>64.010000000000005</v>
      </c>
      <c r="T54">
        <v>68.040000000000006</v>
      </c>
      <c r="U54">
        <v>318.51</v>
      </c>
      <c r="V54">
        <v>785.79</v>
      </c>
      <c r="W54">
        <v>1616.87</v>
      </c>
      <c r="X54">
        <v>1014.79</v>
      </c>
      <c r="Y54">
        <v>52268.46</v>
      </c>
      <c r="Z54" t="str">
        <v>#N/A N/A</v>
      </c>
      <c r="AA54" t="str">
        <v>#N/A N/A</v>
      </c>
      <c r="AB54" t="str">
        <v>#N/A N/A</v>
      </c>
      <c r="AC54">
        <v>10.2684</v>
      </c>
      <c r="AD54">
        <v>10.4899</v>
      </c>
      <c r="AE54">
        <v>10.965299999999999</v>
      </c>
      <c r="AF54">
        <v>12.39</v>
      </c>
      <c r="AG54">
        <v>1.3452999999999999</v>
      </c>
      <c r="AH54">
        <v>121.73</v>
      </c>
      <c r="AI54">
        <v>1.9798</v>
      </c>
      <c r="AJ54">
        <v>1.0689</v>
      </c>
      <c r="AK54">
        <v>6.9177</v>
      </c>
      <c r="AL54">
        <v>1.2253000000000001</v>
      </c>
      <c r="AM54">
        <v>165.99</v>
      </c>
      <c r="AN54">
        <v>116.4</v>
      </c>
      <c r="AO54">
        <v>112.19</v>
      </c>
      <c r="AP54">
        <v>85.79</v>
      </c>
      <c r="AQ54">
        <v>86.97</v>
      </c>
    </row>
    <row r="55" spans="1:43" x14ac:dyDescent="0.25">
      <c r="A55" s="7">
        <v>39262</v>
      </c>
      <c r="B55">
        <v>4.8019999999999996</v>
      </c>
      <c r="C55" t="str">
        <v>#N/A N/A</v>
      </c>
      <c r="D55">
        <v>4.0069999999999997</v>
      </c>
      <c r="E55">
        <v>0.64900000000000002</v>
      </c>
      <c r="F55">
        <v>4.8582000000000001</v>
      </c>
      <c r="G55">
        <v>5.7709999999999999</v>
      </c>
      <c r="H55">
        <v>4.4619999999999997</v>
      </c>
      <c r="I55">
        <v>1.0249999999999999</v>
      </c>
      <c r="J55">
        <v>5.0244</v>
      </c>
      <c r="K55">
        <v>5.4630000000000001</v>
      </c>
      <c r="L55">
        <v>4.5739999999999998</v>
      </c>
      <c r="M55">
        <v>1.879</v>
      </c>
      <c r="N55">
        <v>16.23</v>
      </c>
      <c r="O55">
        <v>75.832999999999998</v>
      </c>
      <c r="P55">
        <v>81.92</v>
      </c>
      <c r="Q55">
        <v>96.003399999999999</v>
      </c>
      <c r="R55">
        <v>1.929</v>
      </c>
      <c r="S55">
        <v>70.680000000000007</v>
      </c>
      <c r="T55">
        <v>71.41</v>
      </c>
      <c r="U55">
        <v>318.66000000000003</v>
      </c>
      <c r="V55">
        <v>804.51</v>
      </c>
      <c r="W55">
        <v>1602.36</v>
      </c>
      <c r="X55">
        <v>1059.69</v>
      </c>
      <c r="Y55">
        <v>54392.06</v>
      </c>
      <c r="Z55" t="str">
        <v>#N/A N/A</v>
      </c>
      <c r="AA55" t="str">
        <v>#N/A N/A</v>
      </c>
      <c r="AB55" t="str">
        <v>#N/A N/A</v>
      </c>
      <c r="AC55">
        <v>10.647500000000001</v>
      </c>
      <c r="AD55">
        <v>10.6302</v>
      </c>
      <c r="AE55">
        <v>10.747299999999999</v>
      </c>
      <c r="AF55">
        <v>11.89</v>
      </c>
      <c r="AG55">
        <v>1.3541000000000001</v>
      </c>
      <c r="AH55">
        <v>123.17</v>
      </c>
      <c r="AI55">
        <v>2.0087000000000002</v>
      </c>
      <c r="AJ55">
        <v>1.0652999999999999</v>
      </c>
      <c r="AK55">
        <v>6.8337000000000003</v>
      </c>
      <c r="AL55">
        <v>1.2215</v>
      </c>
      <c r="AM55">
        <v>154.91</v>
      </c>
      <c r="AN55">
        <v>112.88</v>
      </c>
      <c r="AO55">
        <v>112.91</v>
      </c>
      <c r="AP55">
        <v>86.41</v>
      </c>
      <c r="AQ55">
        <v>85.9</v>
      </c>
    </row>
    <row r="56" spans="1:43" x14ac:dyDescent="0.25">
      <c r="A56" s="7">
        <v>39294</v>
      </c>
      <c r="B56">
        <v>4.9405999999999999</v>
      </c>
      <c r="C56" t="str">
        <v>#N/A N/A</v>
      </c>
      <c r="D56">
        <v>4.0620000000000003</v>
      </c>
      <c r="E56">
        <v>0.65600000000000003</v>
      </c>
      <c r="F56">
        <v>4.5174000000000003</v>
      </c>
      <c r="G56">
        <v>5.5590000000000002</v>
      </c>
      <c r="H56">
        <v>4.2990000000000004</v>
      </c>
      <c r="I56">
        <v>0.98599999999999999</v>
      </c>
      <c r="J56">
        <v>4.7388000000000003</v>
      </c>
      <c r="K56">
        <v>5.2089999999999996</v>
      </c>
      <c r="L56">
        <v>4.3470000000000004</v>
      </c>
      <c r="M56">
        <v>1.8</v>
      </c>
      <c r="N56">
        <v>23.52</v>
      </c>
      <c r="O56">
        <v>130.94200000000001</v>
      </c>
      <c r="P56">
        <v>80.77</v>
      </c>
      <c r="Q56">
        <v>95.349800000000002</v>
      </c>
      <c r="R56">
        <v>1.8825000000000001</v>
      </c>
      <c r="S56">
        <v>78.209999999999994</v>
      </c>
      <c r="T56">
        <v>77.05</v>
      </c>
      <c r="U56">
        <v>322.68</v>
      </c>
      <c r="V56">
        <v>851.77</v>
      </c>
      <c r="W56">
        <v>1565.81</v>
      </c>
      <c r="X56">
        <v>1112.77</v>
      </c>
      <c r="Y56">
        <v>54182.5</v>
      </c>
      <c r="Z56" t="str">
        <v>#N/A N/A</v>
      </c>
      <c r="AA56" t="str">
        <v>#N/A N/A</v>
      </c>
      <c r="AB56" t="str">
        <v>#N/A N/A</v>
      </c>
      <c r="AC56">
        <v>10.897399999999999</v>
      </c>
      <c r="AD56">
        <v>11.0235</v>
      </c>
      <c r="AE56">
        <v>10.940300000000001</v>
      </c>
      <c r="AF56">
        <v>11.37</v>
      </c>
      <c r="AG56">
        <v>1.3684000000000001</v>
      </c>
      <c r="AH56">
        <v>118.62</v>
      </c>
      <c r="AI56">
        <v>2.0312999999999999</v>
      </c>
      <c r="AJ56">
        <v>1.0665</v>
      </c>
      <c r="AK56">
        <v>6.7323000000000004</v>
      </c>
      <c r="AL56">
        <v>1.2011000000000001</v>
      </c>
      <c r="AM56">
        <v>160.02000000000001</v>
      </c>
      <c r="AN56">
        <v>116.34</v>
      </c>
      <c r="AO56">
        <v>112.52</v>
      </c>
      <c r="AP56">
        <v>86.92</v>
      </c>
      <c r="AQ56">
        <v>89.74</v>
      </c>
    </row>
    <row r="57" spans="1:43" x14ac:dyDescent="0.25">
      <c r="A57" s="7">
        <v>39325</v>
      </c>
      <c r="B57">
        <v>4.1059000000000001</v>
      </c>
      <c r="C57">
        <v>5.8659999999999997</v>
      </c>
      <c r="D57">
        <v>3.9140000000000001</v>
      </c>
      <c r="E57">
        <v>0.66800000000000004</v>
      </c>
      <c r="F57">
        <v>4.1319999999999997</v>
      </c>
      <c r="G57">
        <v>5.3620000000000001</v>
      </c>
      <c r="H57">
        <v>4.0129999999999999</v>
      </c>
      <c r="I57">
        <v>0.88</v>
      </c>
      <c r="J57">
        <v>4.5292000000000003</v>
      </c>
      <c r="K57">
        <v>5.0359999999999996</v>
      </c>
      <c r="L57">
        <v>4.242</v>
      </c>
      <c r="M57">
        <v>1.613</v>
      </c>
      <c r="N57">
        <v>23.38</v>
      </c>
      <c r="O57">
        <v>103.566</v>
      </c>
      <c r="P57">
        <v>80.790999999999997</v>
      </c>
      <c r="Q57">
        <v>96.488799999999998</v>
      </c>
      <c r="R57">
        <v>1.9619</v>
      </c>
      <c r="S57">
        <v>74.040000000000006</v>
      </c>
      <c r="T57">
        <v>72.69</v>
      </c>
      <c r="U57">
        <v>318.95999999999998</v>
      </c>
      <c r="V57">
        <v>839.53</v>
      </c>
      <c r="W57">
        <v>1561.59</v>
      </c>
      <c r="X57">
        <v>1086.98</v>
      </c>
      <c r="Y57">
        <v>54637.24</v>
      </c>
      <c r="Z57" t="str">
        <v>#N/A N/A</v>
      </c>
      <c r="AA57" t="str">
        <v>#N/A N/A</v>
      </c>
      <c r="AB57" t="str">
        <v>#N/A N/A</v>
      </c>
      <c r="AC57">
        <v>11.867800000000001</v>
      </c>
      <c r="AD57">
        <v>11.779400000000001</v>
      </c>
      <c r="AE57">
        <v>11.361800000000001</v>
      </c>
      <c r="AF57">
        <v>11.42</v>
      </c>
      <c r="AG57">
        <v>1.363</v>
      </c>
      <c r="AH57">
        <v>115.77</v>
      </c>
      <c r="AI57">
        <v>2.0171000000000001</v>
      </c>
      <c r="AJ57">
        <v>1.0556000000000001</v>
      </c>
      <c r="AK57">
        <v>6.8947000000000003</v>
      </c>
      <c r="AL57">
        <v>1.2083999999999999</v>
      </c>
      <c r="AM57">
        <v>176.25</v>
      </c>
      <c r="AN57">
        <v>122.28</v>
      </c>
      <c r="AO57">
        <v>114.15</v>
      </c>
      <c r="AP57">
        <v>87.1</v>
      </c>
      <c r="AQ57">
        <v>90.58</v>
      </c>
    </row>
    <row r="58" spans="1:43" x14ac:dyDescent="0.25">
      <c r="A58" s="7">
        <v>39353</v>
      </c>
      <c r="B58">
        <v>3.7955999999999999</v>
      </c>
      <c r="C58">
        <v>5.8890000000000002</v>
      </c>
      <c r="D58">
        <v>3.806</v>
      </c>
      <c r="E58">
        <v>0.57199999999999995</v>
      </c>
      <c r="F58">
        <v>3.9834999999999998</v>
      </c>
      <c r="G58">
        <v>5.07</v>
      </c>
      <c r="H58">
        <v>4.0279999999999996</v>
      </c>
      <c r="I58">
        <v>0.87</v>
      </c>
      <c r="J58">
        <v>4.5865</v>
      </c>
      <c r="K58">
        <v>5.0110000000000001</v>
      </c>
      <c r="L58">
        <v>4.3289999999999997</v>
      </c>
      <c r="M58">
        <v>1.6850000000000001</v>
      </c>
      <c r="N58">
        <v>18</v>
      </c>
      <c r="O58">
        <v>85.099000000000004</v>
      </c>
      <c r="P58">
        <v>77.718999999999994</v>
      </c>
      <c r="Q58">
        <v>95.919399999999996</v>
      </c>
      <c r="R58">
        <v>1.8335999999999999</v>
      </c>
      <c r="S58">
        <v>81.66</v>
      </c>
      <c r="T58">
        <v>79.17</v>
      </c>
      <c r="U58">
        <v>328.99</v>
      </c>
      <c r="V58">
        <v>856.92</v>
      </c>
      <c r="W58">
        <v>1633.58</v>
      </c>
      <c r="X58">
        <v>1204.9000000000001</v>
      </c>
      <c r="Y58">
        <v>60465.06</v>
      </c>
      <c r="Z58" t="str">
        <v>#N/A N/A</v>
      </c>
      <c r="AA58" t="str">
        <v>#N/A N/A</v>
      </c>
      <c r="AB58" t="str">
        <v>#N/A N/A</v>
      </c>
      <c r="AC58">
        <v>11.387700000000001</v>
      </c>
      <c r="AD58">
        <v>11.32</v>
      </c>
      <c r="AE58">
        <v>11.16</v>
      </c>
      <c r="AF58">
        <v>11.12</v>
      </c>
      <c r="AG58">
        <v>1.4267000000000001</v>
      </c>
      <c r="AH58">
        <v>114.81</v>
      </c>
      <c r="AI58">
        <v>2.0472999999999999</v>
      </c>
      <c r="AJ58">
        <v>0.99229999999999996</v>
      </c>
      <c r="AK58">
        <v>6.4381000000000004</v>
      </c>
      <c r="AL58">
        <v>1.1637</v>
      </c>
      <c r="AM58">
        <v>164.85</v>
      </c>
      <c r="AN58">
        <v>114.61</v>
      </c>
      <c r="AO58">
        <v>112.8</v>
      </c>
      <c r="AP58">
        <v>87.79</v>
      </c>
      <c r="AQ58">
        <v>86.5</v>
      </c>
    </row>
    <row r="59" spans="1:43" x14ac:dyDescent="0.25">
      <c r="A59" s="7">
        <v>39386</v>
      </c>
      <c r="B59">
        <v>3.9112</v>
      </c>
      <c r="C59">
        <v>5.9809999999999999</v>
      </c>
      <c r="D59">
        <v>3.8570000000000002</v>
      </c>
      <c r="E59">
        <v>0.60299999999999998</v>
      </c>
      <c r="F59">
        <v>3.9451999999999998</v>
      </c>
      <c r="G59">
        <v>5.1020000000000003</v>
      </c>
      <c r="H59">
        <v>4.056</v>
      </c>
      <c r="I59">
        <v>0.79</v>
      </c>
      <c r="J59">
        <v>4.4707999999999997</v>
      </c>
      <c r="K59">
        <v>4.9279999999999999</v>
      </c>
      <c r="L59">
        <v>4.2389999999999999</v>
      </c>
      <c r="M59">
        <v>1.61</v>
      </c>
      <c r="N59">
        <v>18.53</v>
      </c>
      <c r="O59">
        <v>81.33</v>
      </c>
      <c r="P59">
        <v>76.478999999999999</v>
      </c>
      <c r="Q59">
        <v>94.399799999999999</v>
      </c>
      <c r="R59">
        <v>1.736</v>
      </c>
      <c r="S59">
        <v>94.53</v>
      </c>
      <c r="T59">
        <v>90.63</v>
      </c>
      <c r="U59">
        <v>324.06</v>
      </c>
      <c r="V59">
        <v>872.29</v>
      </c>
      <c r="W59">
        <v>1682.35</v>
      </c>
      <c r="X59">
        <v>1337.45</v>
      </c>
      <c r="Y59">
        <v>65317.7</v>
      </c>
      <c r="Z59" t="str">
        <v>#N/A N/A</v>
      </c>
      <c r="AA59" t="str">
        <v>#N/A N/A</v>
      </c>
      <c r="AB59" t="str">
        <v>#N/A N/A</v>
      </c>
      <c r="AC59">
        <v>11.6442</v>
      </c>
      <c r="AD59">
        <v>11.5349</v>
      </c>
      <c r="AE59">
        <v>11.299799999999999</v>
      </c>
      <c r="AF59">
        <v>11.09</v>
      </c>
      <c r="AG59">
        <v>1.4487000000000001</v>
      </c>
      <c r="AH59">
        <v>115.44</v>
      </c>
      <c r="AI59">
        <v>2.0798000000000001</v>
      </c>
      <c r="AJ59">
        <v>0.94310000000000005</v>
      </c>
      <c r="AK59">
        <v>6.3509000000000002</v>
      </c>
      <c r="AL59">
        <v>1.1580999999999999</v>
      </c>
      <c r="AM59">
        <v>184.73</v>
      </c>
      <c r="AN59">
        <v>125.65</v>
      </c>
      <c r="AO59">
        <v>116.19</v>
      </c>
      <c r="AP59">
        <v>88.64</v>
      </c>
      <c r="AQ59">
        <v>90.66</v>
      </c>
    </row>
    <row r="60" spans="1:43" x14ac:dyDescent="0.25">
      <c r="A60" s="7">
        <v>39416</v>
      </c>
      <c r="B60">
        <v>3.1444999999999999</v>
      </c>
      <c r="C60">
        <v>5.4180000000000001</v>
      </c>
      <c r="D60">
        <v>3.8580000000000001</v>
      </c>
      <c r="E60">
        <v>0.56999999999999995</v>
      </c>
      <c r="F60">
        <v>2.9946999999999999</v>
      </c>
      <c r="G60">
        <v>4.5220000000000002</v>
      </c>
      <c r="H60">
        <v>3.831</v>
      </c>
      <c r="I60">
        <v>0.77</v>
      </c>
      <c r="J60">
        <v>3.9379</v>
      </c>
      <c r="K60">
        <v>4.6369999999999996</v>
      </c>
      <c r="L60">
        <v>4.1260000000000003</v>
      </c>
      <c r="M60">
        <v>1.478</v>
      </c>
      <c r="N60">
        <v>22.87</v>
      </c>
      <c r="O60">
        <v>98.406000000000006</v>
      </c>
      <c r="P60">
        <v>76.147000000000006</v>
      </c>
      <c r="Q60">
        <v>94.004900000000006</v>
      </c>
      <c r="R60">
        <v>1.7924</v>
      </c>
      <c r="S60">
        <v>88.71</v>
      </c>
      <c r="T60">
        <v>88.26</v>
      </c>
      <c r="U60">
        <v>331.92</v>
      </c>
      <c r="V60">
        <v>820.82</v>
      </c>
      <c r="W60">
        <v>1610.94</v>
      </c>
      <c r="X60">
        <v>1242.06</v>
      </c>
      <c r="Y60">
        <v>63006.16</v>
      </c>
      <c r="Z60" t="str">
        <v>#N/A N/A</v>
      </c>
      <c r="AA60" t="str">
        <v>#N/A N/A</v>
      </c>
      <c r="AB60" t="str">
        <v>#N/A N/A</v>
      </c>
      <c r="AC60">
        <v>12.3178</v>
      </c>
      <c r="AD60">
        <v>12.098599999999999</v>
      </c>
      <c r="AE60">
        <v>11.5886</v>
      </c>
      <c r="AF60">
        <v>11.12</v>
      </c>
      <c r="AG60">
        <v>1.4633</v>
      </c>
      <c r="AH60">
        <v>111.24</v>
      </c>
      <c r="AI60">
        <v>2.0562999999999998</v>
      </c>
      <c r="AJ60">
        <v>0.99870000000000003</v>
      </c>
      <c r="AK60">
        <v>6.3981000000000003</v>
      </c>
      <c r="AL60">
        <v>1.1317999999999999</v>
      </c>
      <c r="AM60">
        <v>182.01</v>
      </c>
      <c r="AN60">
        <v>119.33</v>
      </c>
      <c r="AO60">
        <v>114.92</v>
      </c>
      <c r="AP60">
        <v>88.59</v>
      </c>
      <c r="AQ60">
        <v>88.35</v>
      </c>
    </row>
    <row r="61" spans="1:43" x14ac:dyDescent="0.25">
      <c r="A61" s="7">
        <v>39447</v>
      </c>
      <c r="B61">
        <v>3.2368000000000001</v>
      </c>
      <c r="C61">
        <v>5.056</v>
      </c>
      <c r="D61">
        <v>3.6859999999999999</v>
      </c>
      <c r="E61">
        <v>0.58299999999999996</v>
      </c>
      <c r="F61">
        <v>3.0466000000000002</v>
      </c>
      <c r="G61">
        <v>4.359</v>
      </c>
      <c r="H61">
        <v>3.964</v>
      </c>
      <c r="I61">
        <v>0.71499999999999997</v>
      </c>
      <c r="J61">
        <v>4.0232000000000001</v>
      </c>
      <c r="K61">
        <v>4.508</v>
      </c>
      <c r="L61">
        <v>4.3070000000000004</v>
      </c>
      <c r="M61">
        <v>1.51</v>
      </c>
      <c r="N61">
        <v>22.5</v>
      </c>
      <c r="O61">
        <v>103</v>
      </c>
      <c r="P61">
        <v>76.694999999999993</v>
      </c>
      <c r="Q61">
        <v>93.706800000000001</v>
      </c>
      <c r="R61">
        <v>1.78</v>
      </c>
      <c r="S61">
        <v>95.98</v>
      </c>
      <c r="T61">
        <v>93.85</v>
      </c>
      <c r="U61">
        <v>335.94</v>
      </c>
      <c r="V61">
        <v>811.85</v>
      </c>
      <c r="W61">
        <v>1588.8</v>
      </c>
      <c r="X61">
        <v>1245.5899999999999</v>
      </c>
      <c r="Y61">
        <v>63886.1</v>
      </c>
      <c r="Z61" t="str">
        <v>#N/A N/A</v>
      </c>
      <c r="AA61" t="str">
        <v>#N/A N/A</v>
      </c>
      <c r="AB61" t="str">
        <v>#N/A N/A</v>
      </c>
      <c r="AC61">
        <v>12.985900000000001</v>
      </c>
      <c r="AD61">
        <v>12.8066</v>
      </c>
      <c r="AE61">
        <v>12.0649</v>
      </c>
      <c r="AF61">
        <v>11.12</v>
      </c>
      <c r="AG61">
        <v>1.4589000000000001</v>
      </c>
      <c r="AH61">
        <v>111.75</v>
      </c>
      <c r="AI61">
        <v>1.9850000000000001</v>
      </c>
      <c r="AJ61">
        <v>0.99839999999999995</v>
      </c>
      <c r="AK61">
        <v>6.4703999999999997</v>
      </c>
      <c r="AL61">
        <v>1.1335</v>
      </c>
      <c r="AM61">
        <v>162.72999999999999</v>
      </c>
      <c r="AN61">
        <v>107.94</v>
      </c>
      <c r="AO61">
        <v>115.26</v>
      </c>
      <c r="AP61">
        <v>89.39</v>
      </c>
      <c r="AQ61">
        <v>85.93</v>
      </c>
    </row>
    <row r="62" spans="1:43" x14ac:dyDescent="0.25">
      <c r="A62" s="7">
        <v>39478</v>
      </c>
      <c r="B62">
        <v>1.9409000000000001</v>
      </c>
      <c r="C62">
        <v>5.0739999999999998</v>
      </c>
      <c r="D62">
        <v>3.895</v>
      </c>
      <c r="E62">
        <v>0.55700000000000005</v>
      </c>
      <c r="F62">
        <v>2.0929000000000002</v>
      </c>
      <c r="G62">
        <v>4.2919999999999998</v>
      </c>
      <c r="H62">
        <v>3.3730000000000002</v>
      </c>
      <c r="I62">
        <v>0.55000000000000004</v>
      </c>
      <c r="J62">
        <v>3.5931000000000002</v>
      </c>
      <c r="K62">
        <v>4.4770000000000003</v>
      </c>
      <c r="L62">
        <v>3.93</v>
      </c>
      <c r="M62">
        <v>1.44</v>
      </c>
      <c r="N62">
        <v>26.2</v>
      </c>
      <c r="O62">
        <v>135.68700000000001</v>
      </c>
      <c r="P62">
        <v>75.177999999999997</v>
      </c>
      <c r="Q62">
        <v>93.091200000000001</v>
      </c>
      <c r="R62">
        <v>1.7592000000000001</v>
      </c>
      <c r="S62">
        <v>91.75</v>
      </c>
      <c r="T62">
        <v>92.21</v>
      </c>
      <c r="U62">
        <v>359.31</v>
      </c>
      <c r="V62">
        <v>809.53</v>
      </c>
      <c r="W62">
        <v>1466.35</v>
      </c>
      <c r="X62">
        <v>1088.72</v>
      </c>
      <c r="Y62">
        <v>59490.400000000001</v>
      </c>
      <c r="Z62" t="str">
        <v>#N/A N/A</v>
      </c>
      <c r="AA62" t="str">
        <v>#N/A N/A</v>
      </c>
      <c r="AB62" t="str">
        <v>#N/A N/A</v>
      </c>
      <c r="AC62">
        <v>12.9405</v>
      </c>
      <c r="AD62">
        <v>12.7697</v>
      </c>
      <c r="AE62">
        <v>12.109500000000001</v>
      </c>
      <c r="AF62">
        <v>11.1</v>
      </c>
      <c r="AG62">
        <v>1.4861</v>
      </c>
      <c r="AH62">
        <v>106.45</v>
      </c>
      <c r="AI62">
        <v>1.9872000000000001</v>
      </c>
      <c r="AJ62">
        <v>1.0027999999999999</v>
      </c>
      <c r="AK62">
        <v>6.3699000000000003</v>
      </c>
      <c r="AL62">
        <v>1.0813999999999999</v>
      </c>
      <c r="AM62">
        <v>157.32</v>
      </c>
      <c r="AN62">
        <v>110.46</v>
      </c>
      <c r="AO62">
        <v>117.17</v>
      </c>
      <c r="AP62">
        <v>89.53</v>
      </c>
      <c r="AQ62">
        <v>85.53</v>
      </c>
    </row>
    <row r="63" spans="1:43" x14ac:dyDescent="0.25">
      <c r="A63" s="7">
        <v>39507</v>
      </c>
      <c r="B63">
        <v>1.8380000000000001</v>
      </c>
      <c r="C63">
        <v>5.0739999999999998</v>
      </c>
      <c r="D63">
        <v>3.8719999999999999</v>
      </c>
      <c r="E63">
        <v>0.56699999999999995</v>
      </c>
      <c r="F63">
        <v>1.6157999999999999</v>
      </c>
      <c r="G63">
        <v>4.069</v>
      </c>
      <c r="H63">
        <v>3.16</v>
      </c>
      <c r="I63">
        <v>0.56499999999999995</v>
      </c>
      <c r="J63">
        <v>3.5091999999999999</v>
      </c>
      <c r="K63">
        <v>4.4690000000000003</v>
      </c>
      <c r="L63">
        <v>3.891</v>
      </c>
      <c r="M63">
        <v>1.365</v>
      </c>
      <c r="N63">
        <v>26.54</v>
      </c>
      <c r="O63">
        <v>152.375</v>
      </c>
      <c r="P63">
        <v>73.713999999999999</v>
      </c>
      <c r="Q63">
        <v>92.097200000000001</v>
      </c>
      <c r="R63">
        <v>1.6907000000000001</v>
      </c>
      <c r="S63">
        <v>101.84</v>
      </c>
      <c r="T63">
        <v>100.1</v>
      </c>
      <c r="U63">
        <v>404.65</v>
      </c>
      <c r="V63">
        <v>904.14</v>
      </c>
      <c r="W63">
        <v>1455.56</v>
      </c>
      <c r="X63">
        <v>1167.6600000000001</v>
      </c>
      <c r="Y63">
        <v>63489.3</v>
      </c>
      <c r="Z63" t="str">
        <v>#N/A N/A</v>
      </c>
      <c r="AA63" t="str">
        <v>#N/A N/A</v>
      </c>
      <c r="AB63" t="str">
        <v>#N/A N/A</v>
      </c>
      <c r="AC63">
        <v>12.53</v>
      </c>
      <c r="AD63">
        <v>12.4878</v>
      </c>
      <c r="AE63">
        <v>11.922700000000001</v>
      </c>
      <c r="AF63">
        <v>11.08</v>
      </c>
      <c r="AG63">
        <v>1.5179</v>
      </c>
      <c r="AH63">
        <v>103.74</v>
      </c>
      <c r="AI63">
        <v>1.9891000000000001</v>
      </c>
      <c r="AJ63">
        <v>0.98780000000000001</v>
      </c>
      <c r="AK63">
        <v>6.1677999999999997</v>
      </c>
      <c r="AL63">
        <v>1.0411999999999999</v>
      </c>
      <c r="AM63">
        <v>163.53</v>
      </c>
      <c r="AN63">
        <v>106.13</v>
      </c>
      <c r="AO63">
        <v>116.92</v>
      </c>
      <c r="AP63">
        <v>89.26</v>
      </c>
      <c r="AQ63">
        <v>85.57</v>
      </c>
    </row>
    <row r="64" spans="1:43" x14ac:dyDescent="0.25">
      <c r="A64" s="7">
        <v>39538</v>
      </c>
      <c r="B64">
        <v>1.3156000000000001</v>
      </c>
      <c r="C64">
        <v>5.0739999999999998</v>
      </c>
      <c r="D64">
        <v>3.4079999999999999</v>
      </c>
      <c r="E64">
        <v>0.58799999999999997</v>
      </c>
      <c r="F64">
        <v>1.5824</v>
      </c>
      <c r="G64">
        <v>3.8290000000000002</v>
      </c>
      <c r="H64">
        <v>3.431</v>
      </c>
      <c r="I64">
        <v>0.57499999999999996</v>
      </c>
      <c r="J64">
        <v>3.4096000000000002</v>
      </c>
      <c r="K64">
        <v>4.3479999999999999</v>
      </c>
      <c r="L64">
        <v>3.899</v>
      </c>
      <c r="M64">
        <v>1.284</v>
      </c>
      <c r="N64">
        <v>25.61</v>
      </c>
      <c r="O64">
        <v>177.667</v>
      </c>
      <c r="P64">
        <v>71.802000000000007</v>
      </c>
      <c r="Q64">
        <v>91.444500000000005</v>
      </c>
      <c r="R64">
        <v>1.7519</v>
      </c>
      <c r="S64">
        <v>101.58</v>
      </c>
      <c r="T64">
        <v>100.3</v>
      </c>
      <c r="U64">
        <v>375.92</v>
      </c>
      <c r="V64">
        <v>909.03</v>
      </c>
      <c r="W64">
        <v>1437.4</v>
      </c>
      <c r="X64">
        <v>1104.58</v>
      </c>
      <c r="Y64">
        <v>60968.07</v>
      </c>
      <c r="Z64" t="str">
        <v>#N/A N/A</v>
      </c>
      <c r="AA64" t="str">
        <v>#N/A N/A</v>
      </c>
      <c r="AB64" t="str">
        <v>#N/A N/A</v>
      </c>
      <c r="AC64">
        <v>13.33</v>
      </c>
      <c r="AD64">
        <v>13.3096</v>
      </c>
      <c r="AE64">
        <v>12.6974</v>
      </c>
      <c r="AF64">
        <v>11.15</v>
      </c>
      <c r="AG64">
        <v>1.5788</v>
      </c>
      <c r="AH64">
        <v>99.7</v>
      </c>
      <c r="AI64">
        <v>1.9837</v>
      </c>
      <c r="AJ64">
        <v>1.0253000000000001</v>
      </c>
      <c r="AK64">
        <v>5.9420000000000002</v>
      </c>
      <c r="AL64">
        <v>0.99309999999999998</v>
      </c>
      <c r="AM64">
        <v>179.65</v>
      </c>
      <c r="AN64">
        <v>113.9</v>
      </c>
      <c r="AO64">
        <v>117.15</v>
      </c>
      <c r="AP64">
        <v>88.67</v>
      </c>
      <c r="AQ64">
        <v>90.54</v>
      </c>
    </row>
    <row r="65" spans="1:43" x14ac:dyDescent="0.25">
      <c r="A65" s="7">
        <v>39568</v>
      </c>
      <c r="B65">
        <v>1.3772</v>
      </c>
      <c r="C65">
        <v>5.0739999999999998</v>
      </c>
      <c r="D65">
        <v>3.63</v>
      </c>
      <c r="E65">
        <v>0.61</v>
      </c>
      <c r="F65">
        <v>2.2536999999999998</v>
      </c>
      <c r="G65">
        <v>4.4180000000000001</v>
      </c>
      <c r="H65">
        <v>3.7570000000000001</v>
      </c>
      <c r="I65">
        <v>0.78500000000000003</v>
      </c>
      <c r="J65">
        <v>3.7279</v>
      </c>
      <c r="K65">
        <v>4.67</v>
      </c>
      <c r="L65">
        <v>4.1230000000000002</v>
      </c>
      <c r="M65">
        <v>1.585</v>
      </c>
      <c r="N65">
        <v>20.79</v>
      </c>
      <c r="O65">
        <v>108.5</v>
      </c>
      <c r="P65">
        <v>72.509</v>
      </c>
      <c r="Q65">
        <v>90.601100000000002</v>
      </c>
      <c r="R65">
        <v>1.6629</v>
      </c>
      <c r="S65">
        <v>113.46</v>
      </c>
      <c r="T65">
        <v>111.36</v>
      </c>
      <c r="U65">
        <v>400.77</v>
      </c>
      <c r="V65">
        <v>950.91</v>
      </c>
      <c r="W65">
        <v>1508.99</v>
      </c>
      <c r="X65">
        <v>1191.53</v>
      </c>
      <c r="Y65">
        <v>67868.460000000006</v>
      </c>
      <c r="Z65" t="str">
        <v>#N/A N/A</v>
      </c>
      <c r="AA65" t="str">
        <v>#N/A N/A</v>
      </c>
      <c r="AB65" t="str">
        <v>#N/A N/A</v>
      </c>
      <c r="AC65">
        <v>13.533799999999999</v>
      </c>
      <c r="AD65">
        <v>13.7135</v>
      </c>
      <c r="AE65">
        <v>13.2195</v>
      </c>
      <c r="AF65">
        <v>11.57</v>
      </c>
      <c r="AG65">
        <v>1.5622</v>
      </c>
      <c r="AH65">
        <v>103.92</v>
      </c>
      <c r="AI65">
        <v>1.9869000000000001</v>
      </c>
      <c r="AJ65">
        <v>1.0079</v>
      </c>
      <c r="AK65">
        <v>5.9850000000000003</v>
      </c>
      <c r="AL65">
        <v>1.0345</v>
      </c>
      <c r="AM65">
        <v>184.47</v>
      </c>
      <c r="AN65">
        <v>115.64</v>
      </c>
      <c r="AO65">
        <v>117.24</v>
      </c>
      <c r="AP65">
        <v>89.85</v>
      </c>
      <c r="AQ65">
        <v>90.88</v>
      </c>
    </row>
    <row r="66" spans="1:43" x14ac:dyDescent="0.25">
      <c r="A66" s="7">
        <v>39598</v>
      </c>
      <c r="B66">
        <v>1.879</v>
      </c>
      <c r="C66">
        <v>5.0739999999999998</v>
      </c>
      <c r="D66">
        <v>3.9740000000000002</v>
      </c>
      <c r="E66">
        <v>0.60799999999999998</v>
      </c>
      <c r="F66">
        <v>2.6410999999999998</v>
      </c>
      <c r="G66">
        <v>5.0739999999999998</v>
      </c>
      <c r="H66">
        <v>4.3159999999999998</v>
      </c>
      <c r="I66">
        <v>0.91500000000000004</v>
      </c>
      <c r="J66">
        <v>4.0594999999999999</v>
      </c>
      <c r="K66">
        <v>4.9859999999999998</v>
      </c>
      <c r="L66">
        <v>4.4050000000000002</v>
      </c>
      <c r="M66">
        <v>1.7589999999999999</v>
      </c>
      <c r="N66">
        <v>17.829999999999998</v>
      </c>
      <c r="O66">
        <v>85.165000000000006</v>
      </c>
      <c r="P66">
        <v>72.879000000000005</v>
      </c>
      <c r="Q66">
        <v>90.856399999999994</v>
      </c>
      <c r="R66">
        <v>1.627</v>
      </c>
      <c r="S66">
        <v>127.35</v>
      </c>
      <c r="T66">
        <v>127.78</v>
      </c>
      <c r="U66">
        <v>403.93</v>
      </c>
      <c r="V66">
        <v>845.91</v>
      </c>
      <c r="W66">
        <v>1525.73</v>
      </c>
      <c r="X66">
        <v>1210.04</v>
      </c>
      <c r="Y66">
        <v>72592.5</v>
      </c>
      <c r="Z66" t="str">
        <v>#N/A N/A</v>
      </c>
      <c r="AA66" t="str">
        <v>#N/A N/A</v>
      </c>
      <c r="AB66" t="str">
        <v>#N/A N/A</v>
      </c>
      <c r="AC66">
        <v>14.0921</v>
      </c>
      <c r="AD66">
        <v>14.1967</v>
      </c>
      <c r="AE66">
        <v>13.753500000000001</v>
      </c>
      <c r="AF66">
        <v>11.55</v>
      </c>
      <c r="AG66">
        <v>1.5553999999999999</v>
      </c>
      <c r="AH66">
        <v>105.52</v>
      </c>
      <c r="AI66">
        <v>1.9823</v>
      </c>
      <c r="AJ66">
        <v>0.99339999999999995</v>
      </c>
      <c r="AK66">
        <v>6.0034000000000001</v>
      </c>
      <c r="AL66">
        <v>1.0423</v>
      </c>
      <c r="AM66">
        <v>177.76</v>
      </c>
      <c r="AN66">
        <v>119.39</v>
      </c>
      <c r="AO66">
        <v>118.13</v>
      </c>
      <c r="AP66">
        <v>90.77</v>
      </c>
      <c r="AQ66">
        <v>90.49</v>
      </c>
    </row>
    <row r="67" spans="1:43" x14ac:dyDescent="0.25">
      <c r="A67" s="7">
        <v>39629</v>
      </c>
      <c r="B67">
        <v>1.7305999999999999</v>
      </c>
      <c r="C67">
        <v>5.0739999999999998</v>
      </c>
      <c r="D67">
        <v>4.3029999999999999</v>
      </c>
      <c r="E67">
        <v>0.59299999999999997</v>
      </c>
      <c r="F67">
        <v>2.6164000000000001</v>
      </c>
      <c r="G67">
        <v>5.2264999999999997</v>
      </c>
      <c r="H67">
        <v>4.5970000000000004</v>
      </c>
      <c r="I67">
        <v>0.80500000000000005</v>
      </c>
      <c r="J67">
        <v>3.9689999999999999</v>
      </c>
      <c r="K67">
        <v>5.1300999999999997</v>
      </c>
      <c r="L67">
        <v>4.6210000000000004</v>
      </c>
      <c r="M67">
        <v>1.601</v>
      </c>
      <c r="N67">
        <v>23.95</v>
      </c>
      <c r="O67">
        <v>120.571</v>
      </c>
      <c r="P67">
        <v>72.462999999999994</v>
      </c>
      <c r="Q67">
        <v>90.429199999999994</v>
      </c>
      <c r="R67">
        <v>1.6036999999999999</v>
      </c>
      <c r="S67">
        <v>140</v>
      </c>
      <c r="T67">
        <v>139.83000000000001</v>
      </c>
      <c r="U67">
        <v>441.97</v>
      </c>
      <c r="V67">
        <v>829.25</v>
      </c>
      <c r="W67">
        <v>1402.13</v>
      </c>
      <c r="X67">
        <v>1087.1199999999999</v>
      </c>
      <c r="Y67">
        <v>65017.58</v>
      </c>
      <c r="Z67" t="str">
        <v>#N/A N/A</v>
      </c>
      <c r="AA67" t="str">
        <v>#N/A N/A</v>
      </c>
      <c r="AB67" t="str">
        <v>#N/A N/A</v>
      </c>
      <c r="AC67">
        <v>15.251799999999999</v>
      </c>
      <c r="AD67">
        <v>15.3689</v>
      </c>
      <c r="AE67">
        <v>14.487</v>
      </c>
      <c r="AF67">
        <v>12.09</v>
      </c>
      <c r="AG67">
        <v>1.5754999999999999</v>
      </c>
      <c r="AH67">
        <v>106.21</v>
      </c>
      <c r="AI67">
        <v>1.9923</v>
      </c>
      <c r="AJ67">
        <v>1.0215000000000001</v>
      </c>
      <c r="AK67">
        <v>6.0130999999999997</v>
      </c>
      <c r="AL67">
        <v>1.0209999999999999</v>
      </c>
      <c r="AM67">
        <v>189.68</v>
      </c>
      <c r="AN67">
        <v>120.35</v>
      </c>
      <c r="AO67">
        <v>119.6</v>
      </c>
      <c r="AP67">
        <v>91.73</v>
      </c>
      <c r="AQ67">
        <v>91.66</v>
      </c>
    </row>
    <row r="68" spans="1:43" x14ac:dyDescent="0.25">
      <c r="A68" s="7">
        <v>39660</v>
      </c>
      <c r="B68">
        <v>1.6594</v>
      </c>
      <c r="C68">
        <v>5.0739999999999998</v>
      </c>
      <c r="D68">
        <v>4.234</v>
      </c>
      <c r="E68">
        <v>0.59499999999999997</v>
      </c>
      <c r="F68">
        <v>2.5078999999999998</v>
      </c>
      <c r="G68">
        <v>4.8029000000000002</v>
      </c>
      <c r="H68">
        <v>4.26</v>
      </c>
      <c r="I68">
        <v>0.79</v>
      </c>
      <c r="J68">
        <v>3.9462000000000002</v>
      </c>
      <c r="K68">
        <v>4.8056000000000001</v>
      </c>
      <c r="L68">
        <v>4.3550000000000004</v>
      </c>
      <c r="M68">
        <v>1.5389999999999999</v>
      </c>
      <c r="N68">
        <v>22.94</v>
      </c>
      <c r="O68">
        <v>117.715</v>
      </c>
      <c r="P68">
        <v>73.227000000000004</v>
      </c>
      <c r="Q68">
        <v>89.824399999999997</v>
      </c>
      <c r="R68">
        <v>1.5653999999999999</v>
      </c>
      <c r="S68">
        <v>124.08</v>
      </c>
      <c r="T68">
        <v>123.98</v>
      </c>
      <c r="U68">
        <v>416.33</v>
      </c>
      <c r="V68">
        <v>793.58</v>
      </c>
      <c r="W68">
        <v>1366.7</v>
      </c>
      <c r="X68">
        <v>1041.8599999999999</v>
      </c>
      <c r="Y68">
        <v>59505.17</v>
      </c>
      <c r="Z68" t="str">
        <v>#N/A N/A</v>
      </c>
      <c r="AA68" t="str">
        <v>#N/A N/A</v>
      </c>
      <c r="AB68" t="str">
        <v>#N/A N/A</v>
      </c>
      <c r="AC68">
        <v>14.4247</v>
      </c>
      <c r="AD68">
        <v>14.7195</v>
      </c>
      <c r="AE68">
        <v>14.6669</v>
      </c>
      <c r="AF68">
        <v>12.85</v>
      </c>
      <c r="AG68">
        <v>1.5603</v>
      </c>
      <c r="AH68">
        <v>107.92</v>
      </c>
      <c r="AI68">
        <v>1.9841</v>
      </c>
      <c r="AJ68">
        <v>1.0246</v>
      </c>
      <c r="AK68">
        <v>6.0511999999999997</v>
      </c>
      <c r="AL68">
        <v>1.0469999999999999</v>
      </c>
      <c r="AM68">
        <v>198.14</v>
      </c>
      <c r="AN68">
        <v>126.44</v>
      </c>
      <c r="AO68">
        <v>120.2</v>
      </c>
      <c r="AP68">
        <v>91.63</v>
      </c>
      <c r="AQ68">
        <v>95.83</v>
      </c>
    </row>
    <row r="69" spans="1:43" x14ac:dyDescent="0.25">
      <c r="A69" s="7">
        <v>39689</v>
      </c>
      <c r="B69">
        <v>1.7102999999999999</v>
      </c>
      <c r="C69">
        <v>5.0739999999999998</v>
      </c>
      <c r="D69">
        <v>4.2919999999999998</v>
      </c>
      <c r="E69">
        <v>0.58299999999999996</v>
      </c>
      <c r="F69">
        <v>2.3668999999999998</v>
      </c>
      <c r="G69">
        <v>4.5046999999999997</v>
      </c>
      <c r="H69">
        <v>4.1109999999999998</v>
      </c>
      <c r="I69">
        <v>0.72599999999999998</v>
      </c>
      <c r="J69">
        <v>3.8115999999999999</v>
      </c>
      <c r="K69">
        <v>4.4795999999999996</v>
      </c>
      <c r="L69">
        <v>4.1760000000000002</v>
      </c>
      <c r="M69">
        <v>1.415</v>
      </c>
      <c r="N69">
        <v>20.65</v>
      </c>
      <c r="O69">
        <v>130.30199999999999</v>
      </c>
      <c r="P69">
        <v>77.381</v>
      </c>
      <c r="Q69">
        <v>90.498999999999995</v>
      </c>
      <c r="R69">
        <v>1.6315</v>
      </c>
      <c r="S69">
        <v>115.46</v>
      </c>
      <c r="T69">
        <v>114.05</v>
      </c>
      <c r="U69">
        <v>398.4</v>
      </c>
      <c r="V69">
        <v>734.14</v>
      </c>
      <c r="W69">
        <v>1344.87</v>
      </c>
      <c r="X69">
        <v>956.25</v>
      </c>
      <c r="Y69">
        <v>55680.41</v>
      </c>
      <c r="Z69" t="str">
        <v>#N/A N/A</v>
      </c>
      <c r="AA69" t="str">
        <v>#N/A N/A</v>
      </c>
      <c r="AB69" t="str">
        <v>#N/A N/A</v>
      </c>
      <c r="AC69">
        <v>13.9261</v>
      </c>
      <c r="AD69">
        <v>14.363200000000001</v>
      </c>
      <c r="AE69">
        <v>14.5916</v>
      </c>
      <c r="AF69">
        <v>12.82</v>
      </c>
      <c r="AG69">
        <v>1.4673</v>
      </c>
      <c r="AH69">
        <v>108.8</v>
      </c>
      <c r="AI69">
        <v>1.8210999999999999</v>
      </c>
      <c r="AJ69">
        <v>1.0637000000000001</v>
      </c>
      <c r="AK69">
        <v>6.4509999999999996</v>
      </c>
      <c r="AL69">
        <v>1.1012</v>
      </c>
      <c r="AM69">
        <v>195.58</v>
      </c>
      <c r="AN69">
        <v>124.58</v>
      </c>
      <c r="AO69">
        <v>118.8</v>
      </c>
      <c r="AP69">
        <v>91.83</v>
      </c>
      <c r="AQ69">
        <v>93.96</v>
      </c>
    </row>
    <row r="70" spans="1:43" x14ac:dyDescent="0.25">
      <c r="A70" s="7">
        <v>39721</v>
      </c>
      <c r="B70">
        <v>0.90439999999999998</v>
      </c>
      <c r="C70">
        <v>5.0739999999999998</v>
      </c>
      <c r="D70">
        <v>2.4529999999999998</v>
      </c>
      <c r="E70">
        <v>0.58499999999999996</v>
      </c>
      <c r="F70">
        <v>1.9599</v>
      </c>
      <c r="G70">
        <v>4.0117000000000003</v>
      </c>
      <c r="H70">
        <v>3.476</v>
      </c>
      <c r="I70">
        <v>0.76400000000000001</v>
      </c>
      <c r="J70">
        <v>3.8233999999999999</v>
      </c>
      <c r="K70">
        <v>4.4493</v>
      </c>
      <c r="L70">
        <v>4.0149999999999997</v>
      </c>
      <c r="M70">
        <v>1.472</v>
      </c>
      <c r="N70">
        <v>39.39</v>
      </c>
      <c r="O70">
        <v>173.333</v>
      </c>
      <c r="P70">
        <v>79.447999999999993</v>
      </c>
      <c r="Q70">
        <v>93.3797</v>
      </c>
      <c r="R70">
        <v>1.9046000000000001</v>
      </c>
      <c r="S70">
        <v>100.64</v>
      </c>
      <c r="T70">
        <v>98.17</v>
      </c>
      <c r="U70">
        <v>374.58</v>
      </c>
      <c r="V70">
        <v>673</v>
      </c>
      <c r="W70">
        <v>1182.44</v>
      </c>
      <c r="X70">
        <v>786.92</v>
      </c>
      <c r="Y70">
        <v>49541.27</v>
      </c>
      <c r="Z70" t="str">
        <v>#N/A N/A</v>
      </c>
      <c r="AA70" t="str">
        <v>#N/A N/A</v>
      </c>
      <c r="AB70" t="str">
        <v>#N/A N/A</v>
      </c>
      <c r="AC70">
        <v>14.3192</v>
      </c>
      <c r="AD70">
        <v>14.35</v>
      </c>
      <c r="AE70">
        <v>14.442500000000001</v>
      </c>
      <c r="AF70">
        <v>13.59</v>
      </c>
      <c r="AG70">
        <v>1.4092</v>
      </c>
      <c r="AH70">
        <v>106.11</v>
      </c>
      <c r="AI70">
        <v>1.7805</v>
      </c>
      <c r="AJ70">
        <v>1.0644</v>
      </c>
      <c r="AK70">
        <v>6.9180999999999999</v>
      </c>
      <c r="AL70">
        <v>1.1221000000000001</v>
      </c>
      <c r="AM70">
        <v>206.15</v>
      </c>
      <c r="AN70">
        <v>125.07</v>
      </c>
      <c r="AO70">
        <v>120.16</v>
      </c>
      <c r="AP70">
        <v>91.76</v>
      </c>
      <c r="AQ70">
        <v>93.07</v>
      </c>
    </row>
    <row r="71" spans="1:43" x14ac:dyDescent="0.25">
      <c r="A71" s="7">
        <v>39752</v>
      </c>
      <c r="B71">
        <v>0.436</v>
      </c>
      <c r="C71">
        <v>5.0739999999999998</v>
      </c>
      <c r="D71">
        <v>1.96</v>
      </c>
      <c r="E71">
        <v>0.38800000000000001</v>
      </c>
      <c r="F71">
        <v>1.548</v>
      </c>
      <c r="G71">
        <v>2.9253999999999998</v>
      </c>
      <c r="H71">
        <v>2.5419999999999998</v>
      </c>
      <c r="I71">
        <v>0.55300000000000005</v>
      </c>
      <c r="J71">
        <v>3.9529999999999998</v>
      </c>
      <c r="K71">
        <v>4.5239000000000003</v>
      </c>
      <c r="L71">
        <v>3.9</v>
      </c>
      <c r="M71">
        <v>1.476</v>
      </c>
      <c r="N71">
        <v>59.89</v>
      </c>
      <c r="O71">
        <v>316.32</v>
      </c>
      <c r="P71">
        <v>85.632999999999996</v>
      </c>
      <c r="Q71">
        <v>100.7111</v>
      </c>
      <c r="R71">
        <v>2.1589999999999998</v>
      </c>
      <c r="S71">
        <v>67.81</v>
      </c>
      <c r="T71">
        <v>65.319999999999993</v>
      </c>
      <c r="U71">
        <v>317.3</v>
      </c>
      <c r="V71">
        <v>483.51</v>
      </c>
      <c r="W71">
        <v>957.25</v>
      </c>
      <c r="X71">
        <v>570.52</v>
      </c>
      <c r="Y71">
        <v>37256.839999999997</v>
      </c>
      <c r="Z71" t="str">
        <v>#N/A N/A</v>
      </c>
      <c r="AA71" t="str">
        <v>#N/A N/A</v>
      </c>
      <c r="AB71" t="str">
        <v>#N/A N/A</v>
      </c>
      <c r="AC71">
        <v>16.966999999999999</v>
      </c>
      <c r="AD71">
        <v>16.251999999999999</v>
      </c>
      <c r="AE71">
        <v>15.4412</v>
      </c>
      <c r="AF71">
        <v>13.59</v>
      </c>
      <c r="AG71">
        <v>1.2726</v>
      </c>
      <c r="AH71">
        <v>98.47</v>
      </c>
      <c r="AI71">
        <v>1.6075999999999999</v>
      </c>
      <c r="AJ71">
        <v>1.2124999999999999</v>
      </c>
      <c r="AK71">
        <v>7.7713999999999999</v>
      </c>
      <c r="AL71">
        <v>1.1577999999999999</v>
      </c>
      <c r="AM71">
        <v>214.78</v>
      </c>
      <c r="AN71">
        <v>126.35</v>
      </c>
      <c r="AO71">
        <v>116.99</v>
      </c>
      <c r="AP71">
        <v>89.95</v>
      </c>
      <c r="AQ71">
        <v>93.21</v>
      </c>
    </row>
    <row r="72" spans="1:43" x14ac:dyDescent="0.25">
      <c r="A72" s="7">
        <v>39780</v>
      </c>
      <c r="B72">
        <v>4.0599999999999997E-2</v>
      </c>
      <c r="C72">
        <v>5.0739999999999998</v>
      </c>
      <c r="D72">
        <v>1.583</v>
      </c>
      <c r="E72">
        <v>0.50700000000000001</v>
      </c>
      <c r="F72">
        <v>0.98070000000000002</v>
      </c>
      <c r="G72">
        <v>2.2063000000000001</v>
      </c>
      <c r="H72">
        <v>2.1880000000000002</v>
      </c>
      <c r="I72">
        <v>0.60099999999999998</v>
      </c>
      <c r="J72">
        <v>2.92</v>
      </c>
      <c r="K72">
        <v>3.7679999999999998</v>
      </c>
      <c r="L72">
        <v>3.258</v>
      </c>
      <c r="M72">
        <v>1.399</v>
      </c>
      <c r="N72">
        <v>55.84</v>
      </c>
      <c r="O72">
        <v>324.82</v>
      </c>
      <c r="P72">
        <v>86.516999999999996</v>
      </c>
      <c r="Q72">
        <v>102.901</v>
      </c>
      <c r="R72">
        <v>2.3062999999999998</v>
      </c>
      <c r="S72">
        <v>54.43</v>
      </c>
      <c r="T72">
        <v>53.49</v>
      </c>
      <c r="U72">
        <v>294.63</v>
      </c>
      <c r="V72">
        <v>472.35</v>
      </c>
      <c r="W72">
        <v>892.93</v>
      </c>
      <c r="X72">
        <v>526.97</v>
      </c>
      <c r="Y72">
        <v>36595.870000000003</v>
      </c>
      <c r="Z72" t="str">
        <v>#N/A N/A</v>
      </c>
      <c r="AA72" t="str">
        <v>#N/A N/A</v>
      </c>
      <c r="AB72" t="str">
        <v>#N/A N/A</v>
      </c>
      <c r="AC72">
        <v>15.475</v>
      </c>
      <c r="AD72">
        <v>15.1396</v>
      </c>
      <c r="AE72">
        <v>14.4222</v>
      </c>
      <c r="AF72">
        <v>13.36</v>
      </c>
      <c r="AG72">
        <v>1.2690999999999999</v>
      </c>
      <c r="AH72">
        <v>95.53</v>
      </c>
      <c r="AI72">
        <v>1.5377000000000001</v>
      </c>
      <c r="AJ72">
        <v>1.2398</v>
      </c>
      <c r="AK72">
        <v>8.1019000000000005</v>
      </c>
      <c r="AL72">
        <v>1.2136</v>
      </c>
      <c r="AM72">
        <v>188.77</v>
      </c>
      <c r="AN72">
        <v>112.08</v>
      </c>
      <c r="AO72">
        <v>109.76</v>
      </c>
      <c r="AP72">
        <v>87.75</v>
      </c>
      <c r="AQ72">
        <v>87.45</v>
      </c>
    </row>
    <row r="73" spans="1:43" x14ac:dyDescent="0.25">
      <c r="A73" s="7">
        <v>39813</v>
      </c>
      <c r="B73">
        <v>7.6100000000000001E-2</v>
      </c>
      <c r="C73">
        <v>1.1479999999999999</v>
      </c>
      <c r="D73">
        <v>0.90100000000000002</v>
      </c>
      <c r="E73">
        <v>0.21199999999999999</v>
      </c>
      <c r="F73">
        <v>0.76429999999999998</v>
      </c>
      <c r="G73">
        <v>1.0483</v>
      </c>
      <c r="H73">
        <v>1.7549999999999999</v>
      </c>
      <c r="I73">
        <v>0.38500000000000001</v>
      </c>
      <c r="J73">
        <v>2.2122999999999999</v>
      </c>
      <c r="K73">
        <v>3.0196999999999998</v>
      </c>
      <c r="L73">
        <v>2.9510000000000001</v>
      </c>
      <c r="M73">
        <v>1.175</v>
      </c>
      <c r="N73">
        <v>40</v>
      </c>
      <c r="O73">
        <v>300.51</v>
      </c>
      <c r="P73">
        <v>81.308000000000007</v>
      </c>
      <c r="Q73">
        <v>103.4603</v>
      </c>
      <c r="R73">
        <v>2.3144999999999998</v>
      </c>
      <c r="S73">
        <v>44.6</v>
      </c>
      <c r="T73">
        <v>45.59</v>
      </c>
      <c r="U73">
        <v>294.2</v>
      </c>
      <c r="V73">
        <v>402.56</v>
      </c>
      <c r="W73">
        <v>920.23</v>
      </c>
      <c r="X73">
        <v>567.04</v>
      </c>
      <c r="Y73">
        <v>37550.31</v>
      </c>
      <c r="Z73" t="str">
        <v>#N/A N/A</v>
      </c>
      <c r="AA73" t="str">
        <v>#N/A N/A</v>
      </c>
      <c r="AB73" t="str">
        <v>#N/A N/A</v>
      </c>
      <c r="AC73">
        <v>12.682399999999999</v>
      </c>
      <c r="AD73">
        <v>12.193899999999999</v>
      </c>
      <c r="AE73">
        <v>12.19</v>
      </c>
      <c r="AF73">
        <v>13.62</v>
      </c>
      <c r="AG73">
        <v>1.3971</v>
      </c>
      <c r="AH73">
        <v>90.64</v>
      </c>
      <c r="AI73">
        <v>1.4593</v>
      </c>
      <c r="AJ73">
        <v>1.2188000000000001</v>
      </c>
      <c r="AK73">
        <v>7.8346999999999998</v>
      </c>
      <c r="AL73">
        <v>1.0687</v>
      </c>
      <c r="AM73">
        <v>139.22</v>
      </c>
      <c r="AN73">
        <v>92.2</v>
      </c>
      <c r="AO73">
        <v>97.68</v>
      </c>
      <c r="AP73">
        <v>85.32</v>
      </c>
      <c r="AQ73">
        <v>83.46</v>
      </c>
    </row>
    <row r="74" spans="1:43" x14ac:dyDescent="0.25">
      <c r="A74" s="7">
        <v>39843</v>
      </c>
      <c r="B74">
        <v>0.22620000000000001</v>
      </c>
      <c r="C74">
        <v>0.93</v>
      </c>
      <c r="D74">
        <v>1.1240000000000001</v>
      </c>
      <c r="E74">
        <v>0.29199999999999998</v>
      </c>
      <c r="F74">
        <v>0.94630000000000003</v>
      </c>
      <c r="G74">
        <v>1.5009999999999999</v>
      </c>
      <c r="H74">
        <v>1.532</v>
      </c>
      <c r="I74">
        <v>0.40600000000000003</v>
      </c>
      <c r="J74">
        <v>2.8403</v>
      </c>
      <c r="K74">
        <v>3.7037</v>
      </c>
      <c r="L74">
        <v>3.2959999999999998</v>
      </c>
      <c r="M74">
        <v>1.2969999999999999</v>
      </c>
      <c r="N74">
        <v>44.84</v>
      </c>
      <c r="O74">
        <v>344.95</v>
      </c>
      <c r="P74">
        <v>85.998999999999995</v>
      </c>
      <c r="Q74">
        <v>104.3126</v>
      </c>
      <c r="R74">
        <v>2.323</v>
      </c>
      <c r="S74">
        <v>41.68</v>
      </c>
      <c r="T74">
        <v>45.88</v>
      </c>
      <c r="U74">
        <v>299.22000000000003</v>
      </c>
      <c r="V74">
        <v>426.67</v>
      </c>
      <c r="W74">
        <v>838.83</v>
      </c>
      <c r="X74">
        <v>529.53</v>
      </c>
      <c r="Y74">
        <v>39300.79</v>
      </c>
      <c r="Z74" t="str">
        <v>#N/A N/A</v>
      </c>
      <c r="AA74" t="str">
        <v>#N/A N/A</v>
      </c>
      <c r="AB74" t="str">
        <v>#N/A N/A</v>
      </c>
      <c r="AC74">
        <v>11.8238</v>
      </c>
      <c r="AD74">
        <v>11.559699999999999</v>
      </c>
      <c r="AE74">
        <v>11.174200000000001</v>
      </c>
      <c r="AF74">
        <v>12.61</v>
      </c>
      <c r="AG74">
        <v>1.2813000000000001</v>
      </c>
      <c r="AH74">
        <v>89.92</v>
      </c>
      <c r="AI74">
        <v>1.454</v>
      </c>
      <c r="AJ74">
        <v>1.2296</v>
      </c>
      <c r="AK74">
        <v>8.3381000000000007</v>
      </c>
      <c r="AL74">
        <v>1.1618999999999999</v>
      </c>
      <c r="AM74">
        <v>134.6</v>
      </c>
      <c r="AN74">
        <v>91.67</v>
      </c>
      <c r="AO74">
        <v>99.73</v>
      </c>
      <c r="AP74">
        <v>85.18</v>
      </c>
      <c r="AQ74">
        <v>80.86</v>
      </c>
    </row>
    <row r="75" spans="1:43" x14ac:dyDescent="0.25">
      <c r="A75" s="7">
        <v>39871</v>
      </c>
      <c r="B75">
        <v>0.2465</v>
      </c>
      <c r="C75">
        <v>0.63</v>
      </c>
      <c r="D75">
        <v>0.78500000000000003</v>
      </c>
      <c r="E75">
        <v>0.28199999999999997</v>
      </c>
      <c r="F75">
        <v>0.97009999999999996</v>
      </c>
      <c r="G75">
        <v>1.4396</v>
      </c>
      <c r="H75">
        <v>1.3109999999999999</v>
      </c>
      <c r="I75">
        <v>0.40500000000000003</v>
      </c>
      <c r="J75">
        <v>3.0131000000000001</v>
      </c>
      <c r="K75">
        <v>3.6225999999999998</v>
      </c>
      <c r="L75">
        <v>3.1120000000000001</v>
      </c>
      <c r="M75">
        <v>1.28</v>
      </c>
      <c r="N75">
        <v>46.35</v>
      </c>
      <c r="O75">
        <v>400.57799999999997</v>
      </c>
      <c r="P75">
        <v>88.007999999999996</v>
      </c>
      <c r="Q75">
        <v>106.96429999999999</v>
      </c>
      <c r="R75">
        <v>2.3866000000000001</v>
      </c>
      <c r="S75">
        <v>44.76</v>
      </c>
      <c r="T75">
        <v>46.35</v>
      </c>
      <c r="U75">
        <v>280.02</v>
      </c>
      <c r="V75">
        <v>441.59</v>
      </c>
      <c r="W75">
        <v>750.86</v>
      </c>
      <c r="X75">
        <v>499.3</v>
      </c>
      <c r="Y75">
        <v>38183.31</v>
      </c>
      <c r="Z75" t="str">
        <v>#N/A N/A</v>
      </c>
      <c r="AA75" t="str">
        <v>#N/A N/A</v>
      </c>
      <c r="AB75" t="str">
        <v>#N/A N/A</v>
      </c>
      <c r="AC75">
        <v>11.1976</v>
      </c>
      <c r="AD75">
        <v>11.07</v>
      </c>
      <c r="AE75">
        <v>10.6229</v>
      </c>
      <c r="AF75">
        <v>12.6</v>
      </c>
      <c r="AG75">
        <v>1.2668999999999999</v>
      </c>
      <c r="AH75">
        <v>97.58</v>
      </c>
      <c r="AI75">
        <v>1.4318</v>
      </c>
      <c r="AJ75">
        <v>1.2763</v>
      </c>
      <c r="AK75">
        <v>9.0151000000000003</v>
      </c>
      <c r="AL75">
        <v>1.1689000000000001</v>
      </c>
      <c r="AM75">
        <v>123.63</v>
      </c>
      <c r="AN75">
        <v>88.63</v>
      </c>
      <c r="AO75">
        <v>102.05</v>
      </c>
      <c r="AP75">
        <v>85.87</v>
      </c>
      <c r="AQ75">
        <v>80.900000000000006</v>
      </c>
    </row>
    <row r="76" spans="1:43" x14ac:dyDescent="0.25">
      <c r="A76" s="7">
        <v>39903</v>
      </c>
      <c r="B76">
        <v>0.2009</v>
      </c>
      <c r="C76">
        <v>0.67200000000000004</v>
      </c>
      <c r="D76">
        <v>0.498</v>
      </c>
      <c r="E76">
        <v>0.251</v>
      </c>
      <c r="F76">
        <v>0.79600000000000004</v>
      </c>
      <c r="G76">
        <v>1.1928000000000001</v>
      </c>
      <c r="H76">
        <v>1.2350000000000001</v>
      </c>
      <c r="I76">
        <v>0.42</v>
      </c>
      <c r="J76">
        <v>2.6629</v>
      </c>
      <c r="K76">
        <v>3.1657000000000002</v>
      </c>
      <c r="L76">
        <v>2.9940000000000002</v>
      </c>
      <c r="M76">
        <v>1.353</v>
      </c>
      <c r="N76">
        <v>44.14</v>
      </c>
      <c r="O76">
        <v>325.25700000000001</v>
      </c>
      <c r="P76">
        <v>85.43</v>
      </c>
      <c r="Q76">
        <v>107.3343</v>
      </c>
      <c r="R76">
        <v>2.3228</v>
      </c>
      <c r="S76">
        <v>49.66</v>
      </c>
      <c r="T76">
        <v>49.23</v>
      </c>
      <c r="U76">
        <v>294.82</v>
      </c>
      <c r="V76">
        <v>466.14</v>
      </c>
      <c r="W76">
        <v>805.22</v>
      </c>
      <c r="X76">
        <v>569.97</v>
      </c>
      <c r="Y76">
        <v>40925.870000000003</v>
      </c>
      <c r="Z76" t="str">
        <v>#N/A N/A</v>
      </c>
      <c r="AA76" t="str">
        <v>#N/A N/A</v>
      </c>
      <c r="AB76" t="str">
        <v>#N/A N/A</v>
      </c>
      <c r="AC76">
        <v>10.789300000000001</v>
      </c>
      <c r="AD76">
        <v>10.462199999999999</v>
      </c>
      <c r="AE76">
        <v>9.7539999999999996</v>
      </c>
      <c r="AF76">
        <v>11.08</v>
      </c>
      <c r="AG76">
        <v>1.325</v>
      </c>
      <c r="AH76">
        <v>98.96</v>
      </c>
      <c r="AI76">
        <v>1.4322999999999999</v>
      </c>
      <c r="AJ76">
        <v>1.2602</v>
      </c>
      <c r="AK76">
        <v>8.2474000000000007</v>
      </c>
      <c r="AL76">
        <v>1.1394</v>
      </c>
      <c r="AM76">
        <v>141.16</v>
      </c>
      <c r="AN76">
        <v>103.19</v>
      </c>
      <c r="AO76">
        <v>102.51</v>
      </c>
      <c r="AP76">
        <v>86.33</v>
      </c>
      <c r="AQ76">
        <v>89.71</v>
      </c>
    </row>
    <row r="77" spans="1:43" x14ac:dyDescent="0.25">
      <c r="A77" s="7">
        <v>39933</v>
      </c>
      <c r="B77">
        <v>0.12470000000000001</v>
      </c>
      <c r="C77">
        <v>0.55200000000000005</v>
      </c>
      <c r="D77">
        <v>0.67400000000000004</v>
      </c>
      <c r="E77">
        <v>0.21099999999999999</v>
      </c>
      <c r="F77">
        <v>0.89870000000000005</v>
      </c>
      <c r="G77">
        <v>1.0548</v>
      </c>
      <c r="H77">
        <v>1.337</v>
      </c>
      <c r="I77">
        <v>0.39200000000000002</v>
      </c>
      <c r="J77">
        <v>3.1187</v>
      </c>
      <c r="K77">
        <v>3.5009999999999999</v>
      </c>
      <c r="L77">
        <v>3.1779999999999999</v>
      </c>
      <c r="M77">
        <v>1.4319999999999999</v>
      </c>
      <c r="N77">
        <v>36.5</v>
      </c>
      <c r="O77">
        <v>274.06900000000002</v>
      </c>
      <c r="P77">
        <v>84.614000000000004</v>
      </c>
      <c r="Q77">
        <v>103.65770000000001</v>
      </c>
      <c r="R77">
        <v>2.1903999999999999</v>
      </c>
      <c r="S77">
        <v>51.12</v>
      </c>
      <c r="T77">
        <v>50.8</v>
      </c>
      <c r="U77">
        <v>305.70999999999998</v>
      </c>
      <c r="V77">
        <v>512.82000000000005</v>
      </c>
      <c r="W77">
        <v>893.02</v>
      </c>
      <c r="X77">
        <v>662.73</v>
      </c>
      <c r="Y77">
        <v>47289.53</v>
      </c>
      <c r="Z77" t="str">
        <v>#N/A N/A</v>
      </c>
      <c r="AA77" t="str">
        <v>#N/A N/A</v>
      </c>
      <c r="AB77" t="str">
        <v>#N/A N/A</v>
      </c>
      <c r="AC77">
        <v>11.3492</v>
      </c>
      <c r="AD77">
        <v>10.7926</v>
      </c>
      <c r="AE77">
        <v>9.9026999999999994</v>
      </c>
      <c r="AF77">
        <v>10.119999999999999</v>
      </c>
      <c r="AG77">
        <v>1.323</v>
      </c>
      <c r="AH77">
        <v>98.63</v>
      </c>
      <c r="AI77">
        <v>1.4790000000000001</v>
      </c>
      <c r="AJ77">
        <v>1.1924999999999999</v>
      </c>
      <c r="AK77">
        <v>8.0479000000000003</v>
      </c>
      <c r="AL77">
        <v>1.1405000000000001</v>
      </c>
      <c r="AM77">
        <v>130.44999999999999</v>
      </c>
      <c r="AN77">
        <v>99.31</v>
      </c>
      <c r="AO77">
        <v>103.89</v>
      </c>
      <c r="AP77">
        <v>86.7</v>
      </c>
      <c r="AQ77">
        <v>86.4</v>
      </c>
    </row>
    <row r="78" spans="1:43" x14ac:dyDescent="0.25">
      <c r="A78" s="7">
        <v>39962</v>
      </c>
      <c r="B78">
        <v>0.1298</v>
      </c>
      <c r="C78">
        <v>0.55700000000000005</v>
      </c>
      <c r="D78">
        <v>0.754</v>
      </c>
      <c r="E78">
        <v>0.186</v>
      </c>
      <c r="F78">
        <v>0.91459999999999997</v>
      </c>
      <c r="G78">
        <v>1.0792999999999999</v>
      </c>
      <c r="H78">
        <v>1.419</v>
      </c>
      <c r="I78">
        <v>0.35899999999999999</v>
      </c>
      <c r="J78">
        <v>3.4594</v>
      </c>
      <c r="K78">
        <v>3.7465999999999999</v>
      </c>
      <c r="L78">
        <v>3.589</v>
      </c>
      <c r="M78">
        <v>1.49</v>
      </c>
      <c r="N78">
        <v>28.92</v>
      </c>
      <c r="O78">
        <v>191.023</v>
      </c>
      <c r="P78">
        <v>79.347999999999999</v>
      </c>
      <c r="Q78">
        <v>101.6853</v>
      </c>
      <c r="R78">
        <v>1.9702</v>
      </c>
      <c r="S78">
        <v>66.31</v>
      </c>
      <c r="T78">
        <v>65.52</v>
      </c>
      <c r="U78">
        <v>327.39999999999998</v>
      </c>
      <c r="V78">
        <v>542.84</v>
      </c>
      <c r="W78">
        <v>970</v>
      </c>
      <c r="X78">
        <v>773.12</v>
      </c>
      <c r="Y78">
        <v>53197.73</v>
      </c>
      <c r="Z78" t="str">
        <v>#N/A N/A</v>
      </c>
      <c r="AA78" t="str">
        <v>#N/A N/A</v>
      </c>
      <c r="AB78" t="str">
        <v>#N/A N/A</v>
      </c>
      <c r="AC78">
        <v>10.7422</v>
      </c>
      <c r="AD78">
        <v>10.1721</v>
      </c>
      <c r="AE78">
        <v>9.3272999999999993</v>
      </c>
      <c r="AF78">
        <v>10.01</v>
      </c>
      <c r="AG78">
        <v>1.4157999999999999</v>
      </c>
      <c r="AH78">
        <v>95.34</v>
      </c>
      <c r="AI78">
        <v>1.619</v>
      </c>
      <c r="AJ78">
        <v>1.0914999999999999</v>
      </c>
      <c r="AK78">
        <v>7.5457999999999998</v>
      </c>
      <c r="AL78">
        <v>1.0669</v>
      </c>
      <c r="AM78">
        <v>137.51</v>
      </c>
      <c r="AN78">
        <v>106.35</v>
      </c>
      <c r="AO78">
        <v>105.13</v>
      </c>
      <c r="AP78">
        <v>87.56</v>
      </c>
      <c r="AQ78">
        <v>87.32</v>
      </c>
    </row>
    <row r="79" spans="1:43" x14ac:dyDescent="0.25">
      <c r="A79" s="7">
        <v>39994</v>
      </c>
      <c r="B79">
        <v>0.17749999999999999</v>
      </c>
      <c r="C79">
        <v>0.54900000000000004</v>
      </c>
      <c r="D79">
        <v>0.58799999999999997</v>
      </c>
      <c r="E79">
        <v>0.16400000000000001</v>
      </c>
      <c r="F79">
        <v>1.1091</v>
      </c>
      <c r="G79">
        <v>1.3329</v>
      </c>
      <c r="H79">
        <v>1.365</v>
      </c>
      <c r="I79">
        <v>0.32</v>
      </c>
      <c r="J79">
        <v>3.5326</v>
      </c>
      <c r="K79">
        <v>3.6897000000000002</v>
      </c>
      <c r="L79">
        <v>3.3860000000000001</v>
      </c>
      <c r="M79">
        <v>1.359</v>
      </c>
      <c r="N79">
        <v>26.35</v>
      </c>
      <c r="O79">
        <v>176.48099999999999</v>
      </c>
      <c r="P79">
        <v>80.132999999999996</v>
      </c>
      <c r="Q79">
        <v>101.37350000000001</v>
      </c>
      <c r="R79">
        <v>1.9518</v>
      </c>
      <c r="S79">
        <v>69.89</v>
      </c>
      <c r="T79">
        <v>69.3</v>
      </c>
      <c r="U79">
        <v>303.89999999999998</v>
      </c>
      <c r="V79">
        <v>611.6</v>
      </c>
      <c r="W79">
        <v>964.05</v>
      </c>
      <c r="X79">
        <v>761.3</v>
      </c>
      <c r="Y79">
        <v>51465.46</v>
      </c>
      <c r="Z79" t="str">
        <v>#N/A N/A</v>
      </c>
      <c r="AA79" t="str">
        <v>#N/A N/A</v>
      </c>
      <c r="AB79" t="str">
        <v>#N/A N/A</v>
      </c>
      <c r="AC79">
        <v>11.4537</v>
      </c>
      <c r="AD79">
        <v>10.61</v>
      </c>
      <c r="AE79">
        <v>9.24</v>
      </c>
      <c r="AF79">
        <v>8.9600000000000009</v>
      </c>
      <c r="AG79">
        <v>1.4033</v>
      </c>
      <c r="AH79">
        <v>96.36</v>
      </c>
      <c r="AI79">
        <v>1.6457999999999999</v>
      </c>
      <c r="AJ79">
        <v>1.1623000000000001</v>
      </c>
      <c r="AK79">
        <v>7.7023999999999999</v>
      </c>
      <c r="AL79">
        <v>1.0859000000000001</v>
      </c>
      <c r="AM79">
        <v>143.49</v>
      </c>
      <c r="AN79">
        <v>107.43</v>
      </c>
      <c r="AO79">
        <v>106.67</v>
      </c>
      <c r="AP79">
        <v>88.18</v>
      </c>
      <c r="AQ79">
        <v>88.17</v>
      </c>
    </row>
    <row r="80" spans="1:43" x14ac:dyDescent="0.25">
      <c r="A80" s="7">
        <v>40025</v>
      </c>
      <c r="B80">
        <v>0.17549999999999999</v>
      </c>
      <c r="C80">
        <v>0.44500000000000001</v>
      </c>
      <c r="D80">
        <v>0.31</v>
      </c>
      <c r="E80">
        <v>0.16600000000000001</v>
      </c>
      <c r="F80">
        <v>1.1113</v>
      </c>
      <c r="G80">
        <v>1.2331000000000001</v>
      </c>
      <c r="H80">
        <v>1.2629999999999999</v>
      </c>
      <c r="I80">
        <v>0.28499999999999998</v>
      </c>
      <c r="J80">
        <v>3.4796</v>
      </c>
      <c r="K80">
        <v>3.8008999999999999</v>
      </c>
      <c r="L80">
        <v>3.3</v>
      </c>
      <c r="M80">
        <v>1.419</v>
      </c>
      <c r="N80">
        <v>25.92</v>
      </c>
      <c r="O80">
        <v>133.75700000000001</v>
      </c>
      <c r="P80">
        <v>78.346999999999994</v>
      </c>
      <c r="Q80">
        <v>101.367</v>
      </c>
      <c r="R80">
        <v>1.8651</v>
      </c>
      <c r="S80">
        <v>69.45</v>
      </c>
      <c r="T80">
        <v>71.7</v>
      </c>
      <c r="U80">
        <v>304.49</v>
      </c>
      <c r="V80">
        <v>671.41</v>
      </c>
      <c r="W80">
        <v>1044.75</v>
      </c>
      <c r="X80">
        <v>844.02</v>
      </c>
      <c r="Y80">
        <v>54765.72</v>
      </c>
      <c r="Z80" t="str">
        <v>#N/A N/A</v>
      </c>
      <c r="AA80" t="str">
        <v>#N/A N/A</v>
      </c>
      <c r="AB80" t="str">
        <v>#N/A N/A</v>
      </c>
      <c r="AC80">
        <v>11.4833</v>
      </c>
      <c r="AD80">
        <v>10.687900000000001</v>
      </c>
      <c r="AE80">
        <v>9.2531999999999996</v>
      </c>
      <c r="AF80">
        <v>8.61</v>
      </c>
      <c r="AG80">
        <v>1.4257</v>
      </c>
      <c r="AH80">
        <v>94.68</v>
      </c>
      <c r="AI80">
        <v>1.6713</v>
      </c>
      <c r="AJ80">
        <v>1.0775999999999999</v>
      </c>
      <c r="AK80">
        <v>7.1914999999999996</v>
      </c>
      <c r="AL80">
        <v>1.0685</v>
      </c>
      <c r="AM80">
        <v>151.28</v>
      </c>
      <c r="AN80">
        <v>113.86</v>
      </c>
      <c r="AO80">
        <v>108.01</v>
      </c>
      <c r="AP80">
        <v>88.31</v>
      </c>
      <c r="AQ80">
        <v>92.25</v>
      </c>
    </row>
    <row r="81" spans="1:43" x14ac:dyDescent="0.25">
      <c r="A81" s="7">
        <v>40056</v>
      </c>
      <c r="B81">
        <v>0.1268</v>
      </c>
      <c r="C81">
        <v>0.4</v>
      </c>
      <c r="D81">
        <v>0.32100000000000001</v>
      </c>
      <c r="E81">
        <v>0.159</v>
      </c>
      <c r="F81">
        <v>0.96830000000000005</v>
      </c>
      <c r="G81">
        <v>0.86680000000000001</v>
      </c>
      <c r="H81">
        <v>1.244</v>
      </c>
      <c r="I81">
        <v>0.254</v>
      </c>
      <c r="J81">
        <v>3.3975</v>
      </c>
      <c r="K81">
        <v>3.5556999999999999</v>
      </c>
      <c r="L81">
        <v>3.2570000000000001</v>
      </c>
      <c r="M81">
        <v>1.31</v>
      </c>
      <c r="N81">
        <v>26.01</v>
      </c>
      <c r="O81">
        <v>137.755</v>
      </c>
      <c r="P81">
        <v>78.171999999999997</v>
      </c>
      <c r="Q81">
        <v>100.29900000000001</v>
      </c>
      <c r="R81">
        <v>1.8804000000000001</v>
      </c>
      <c r="S81">
        <v>69.959999999999994</v>
      </c>
      <c r="T81">
        <v>69.650000000000006</v>
      </c>
      <c r="U81">
        <v>303.13</v>
      </c>
      <c r="V81">
        <v>712.42</v>
      </c>
      <c r="W81">
        <v>1085.5999999999999</v>
      </c>
      <c r="X81">
        <v>839.46</v>
      </c>
      <c r="Y81">
        <v>56488.98</v>
      </c>
      <c r="Z81" t="str">
        <v>#N/A N/A</v>
      </c>
      <c r="AA81" t="str">
        <v>#N/A N/A</v>
      </c>
      <c r="AB81" t="str">
        <v>#N/A N/A</v>
      </c>
      <c r="AC81">
        <v>11.617100000000001</v>
      </c>
      <c r="AD81">
        <v>10.752700000000001</v>
      </c>
      <c r="AE81">
        <v>9.2146000000000008</v>
      </c>
      <c r="AF81">
        <v>8.6199999999999992</v>
      </c>
      <c r="AG81">
        <v>1.4334</v>
      </c>
      <c r="AH81">
        <v>93.12</v>
      </c>
      <c r="AI81">
        <v>1.6288</v>
      </c>
      <c r="AJ81">
        <v>1.0938000000000001</v>
      </c>
      <c r="AK81">
        <v>7.1188000000000002</v>
      </c>
      <c r="AL81">
        <v>1.0589999999999999</v>
      </c>
      <c r="AM81">
        <v>152.47</v>
      </c>
      <c r="AN81">
        <v>116.1</v>
      </c>
      <c r="AO81">
        <v>109.7</v>
      </c>
      <c r="AP81">
        <v>89.75</v>
      </c>
      <c r="AQ81">
        <v>91.74</v>
      </c>
    </row>
    <row r="82" spans="1:43" x14ac:dyDescent="0.25">
      <c r="A82" s="7">
        <v>40086</v>
      </c>
      <c r="B82">
        <v>0.1075</v>
      </c>
      <c r="C82">
        <v>0.41399999999999998</v>
      </c>
      <c r="D82">
        <v>0.32800000000000001</v>
      </c>
      <c r="E82">
        <v>0.157</v>
      </c>
      <c r="F82">
        <v>0.9446</v>
      </c>
      <c r="G82">
        <v>0.88190000000000002</v>
      </c>
      <c r="H82">
        <v>1.2649999999999999</v>
      </c>
      <c r="I82">
        <v>0.25</v>
      </c>
      <c r="J82">
        <v>3.3052999999999999</v>
      </c>
      <c r="K82">
        <v>3.5922999999999998</v>
      </c>
      <c r="L82">
        <v>3.22</v>
      </c>
      <c r="M82">
        <v>1.3009999999999999</v>
      </c>
      <c r="N82">
        <v>25.61</v>
      </c>
      <c r="O82">
        <v>126.631</v>
      </c>
      <c r="P82">
        <v>76.653000000000006</v>
      </c>
      <c r="Q82">
        <v>100.51949999999999</v>
      </c>
      <c r="R82">
        <v>1.7669999999999999</v>
      </c>
      <c r="S82">
        <v>70.61</v>
      </c>
      <c r="T82">
        <v>69.069999999999993</v>
      </c>
      <c r="U82">
        <v>305.95999999999998</v>
      </c>
      <c r="V82">
        <v>674.08</v>
      </c>
      <c r="W82">
        <v>1126.98</v>
      </c>
      <c r="X82">
        <v>914.05</v>
      </c>
      <c r="Y82">
        <v>61517.89</v>
      </c>
      <c r="Z82" t="str">
        <v>#N/A N/A</v>
      </c>
      <c r="AA82" t="str">
        <v>#N/A N/A</v>
      </c>
      <c r="AB82" t="str">
        <v>#N/A N/A</v>
      </c>
      <c r="AC82">
        <v>11.869</v>
      </c>
      <c r="AD82">
        <v>11.27</v>
      </c>
      <c r="AE82">
        <v>9.68</v>
      </c>
      <c r="AF82">
        <v>8.6</v>
      </c>
      <c r="AG82">
        <v>1.464</v>
      </c>
      <c r="AH82">
        <v>89.71</v>
      </c>
      <c r="AI82">
        <v>1.5982000000000001</v>
      </c>
      <c r="AJ82">
        <v>1.0694999999999999</v>
      </c>
      <c r="AK82">
        <v>6.9607999999999999</v>
      </c>
      <c r="AL82">
        <v>1.0363</v>
      </c>
      <c r="AM82">
        <v>163.74</v>
      </c>
      <c r="AN82">
        <v>115.88</v>
      </c>
      <c r="AO82">
        <v>111.2</v>
      </c>
      <c r="AP82">
        <v>90.46</v>
      </c>
      <c r="AQ82">
        <v>91.11</v>
      </c>
    </row>
    <row r="83" spans="1:43" x14ac:dyDescent="0.25">
      <c r="A83" s="7">
        <v>40116</v>
      </c>
      <c r="B83">
        <v>4.4600000000000001E-2</v>
      </c>
      <c r="C83">
        <v>0.42799999999999999</v>
      </c>
      <c r="D83">
        <v>0.36599999999999999</v>
      </c>
      <c r="E83">
        <v>0.16600000000000001</v>
      </c>
      <c r="F83">
        <v>0.8891</v>
      </c>
      <c r="G83">
        <v>0.85699999999999998</v>
      </c>
      <c r="H83">
        <v>1.288</v>
      </c>
      <c r="I83">
        <v>0.26400000000000001</v>
      </c>
      <c r="J83">
        <v>3.3828</v>
      </c>
      <c r="K83">
        <v>3.6193</v>
      </c>
      <c r="L83">
        <v>3.2309999999999999</v>
      </c>
      <c r="M83">
        <v>1.415</v>
      </c>
      <c r="N83">
        <v>30.69</v>
      </c>
      <c r="O83">
        <v>137.51300000000001</v>
      </c>
      <c r="P83">
        <v>76.3</v>
      </c>
      <c r="Q83">
        <v>99.186400000000006</v>
      </c>
      <c r="R83">
        <v>1.7612000000000001</v>
      </c>
      <c r="S83">
        <v>77</v>
      </c>
      <c r="T83">
        <v>75.2</v>
      </c>
      <c r="U83">
        <v>325.57</v>
      </c>
      <c r="V83">
        <v>712.98</v>
      </c>
      <c r="W83">
        <v>1106.17</v>
      </c>
      <c r="X83">
        <v>914.26</v>
      </c>
      <c r="Y83">
        <v>61545.5</v>
      </c>
      <c r="Z83" t="str">
        <v>#N/A N/A</v>
      </c>
      <c r="AA83" t="str">
        <v>#N/A N/A</v>
      </c>
      <c r="AB83" t="str">
        <v>#N/A N/A</v>
      </c>
      <c r="AC83">
        <v>12.3215</v>
      </c>
      <c r="AD83">
        <v>11.506500000000001</v>
      </c>
      <c r="AE83">
        <v>9.9944000000000006</v>
      </c>
      <c r="AF83">
        <v>8.6199999999999992</v>
      </c>
      <c r="AG83">
        <v>1.4719</v>
      </c>
      <c r="AH83">
        <v>90.09</v>
      </c>
      <c r="AI83">
        <v>1.6453</v>
      </c>
      <c r="AJ83">
        <v>1.0848</v>
      </c>
      <c r="AK83">
        <v>7.0956999999999999</v>
      </c>
      <c r="AL83">
        <v>1.0263</v>
      </c>
      <c r="AM83">
        <v>178.58</v>
      </c>
      <c r="AN83">
        <v>123.07</v>
      </c>
      <c r="AO83">
        <v>113.68</v>
      </c>
      <c r="AP83">
        <v>91.19</v>
      </c>
      <c r="AQ83">
        <v>92.99</v>
      </c>
    </row>
    <row r="84" spans="1:43" x14ac:dyDescent="0.25">
      <c r="A84" s="7">
        <v>40147</v>
      </c>
      <c r="B84">
        <v>4.6600000000000003E-2</v>
      </c>
      <c r="C84">
        <v>0.48299999999999998</v>
      </c>
      <c r="D84">
        <v>0.40799999999999997</v>
      </c>
      <c r="E84">
        <v>0.16800000000000001</v>
      </c>
      <c r="F84">
        <v>0.66320000000000001</v>
      </c>
      <c r="G84">
        <v>1.1752</v>
      </c>
      <c r="H84">
        <v>1.2569999999999999</v>
      </c>
      <c r="I84">
        <v>0.23400000000000001</v>
      </c>
      <c r="J84">
        <v>3.1978</v>
      </c>
      <c r="K84">
        <v>3.5230000000000001</v>
      </c>
      <c r="L84">
        <v>3.1589999999999998</v>
      </c>
      <c r="M84">
        <v>1.266</v>
      </c>
      <c r="N84">
        <v>24.51</v>
      </c>
      <c r="O84">
        <v>129.149</v>
      </c>
      <c r="P84">
        <v>74.879000000000005</v>
      </c>
      <c r="Q84">
        <v>98.813199999999995</v>
      </c>
      <c r="R84">
        <v>1.7557</v>
      </c>
      <c r="S84">
        <v>77.28</v>
      </c>
      <c r="T84">
        <v>78.47</v>
      </c>
      <c r="U84">
        <v>348.15</v>
      </c>
      <c r="V84">
        <v>720</v>
      </c>
      <c r="W84">
        <v>1149.01</v>
      </c>
      <c r="X84">
        <v>953.13</v>
      </c>
      <c r="Y84">
        <v>67044.44</v>
      </c>
      <c r="Z84" t="str">
        <v>#N/A N/A</v>
      </c>
      <c r="AA84" t="str">
        <v>#N/A N/A</v>
      </c>
      <c r="AB84" t="str">
        <v>#N/A N/A</v>
      </c>
      <c r="AC84">
        <v>12.536899999999999</v>
      </c>
      <c r="AD84">
        <v>11.7643</v>
      </c>
      <c r="AE84">
        <v>10.1524</v>
      </c>
      <c r="AF84">
        <v>8.6199999999999992</v>
      </c>
      <c r="AG84">
        <v>1.5004999999999999</v>
      </c>
      <c r="AH84">
        <v>86.41</v>
      </c>
      <c r="AI84">
        <v>1.6439999999999999</v>
      </c>
      <c r="AJ84">
        <v>1.0563</v>
      </c>
      <c r="AK84">
        <v>6.976</v>
      </c>
      <c r="AL84">
        <v>1.0053000000000001</v>
      </c>
      <c r="AM84">
        <v>184.12</v>
      </c>
      <c r="AN84">
        <v>118.14</v>
      </c>
      <c r="AO84">
        <v>115.1</v>
      </c>
      <c r="AP84">
        <v>91.29</v>
      </c>
      <c r="AQ84">
        <v>90.98</v>
      </c>
    </row>
    <row r="85" spans="1:43" x14ac:dyDescent="0.25">
      <c r="A85" s="7">
        <v>40178</v>
      </c>
      <c r="B85">
        <v>4.7699999999999999E-2</v>
      </c>
      <c r="C85">
        <v>0.46300000000000002</v>
      </c>
      <c r="D85">
        <v>0.30599999999999999</v>
      </c>
      <c r="E85">
        <v>0.13900000000000001</v>
      </c>
      <c r="F85">
        <v>1.1354</v>
      </c>
      <c r="G85">
        <v>1.3149</v>
      </c>
      <c r="H85">
        <v>1.331</v>
      </c>
      <c r="I85">
        <v>0.152</v>
      </c>
      <c r="J85">
        <v>3.8368000000000002</v>
      </c>
      <c r="K85">
        <v>4.0149999999999997</v>
      </c>
      <c r="L85">
        <v>3.387</v>
      </c>
      <c r="M85">
        <v>1.2949999999999999</v>
      </c>
      <c r="N85">
        <v>21.68</v>
      </c>
      <c r="O85">
        <v>122.52</v>
      </c>
      <c r="P85">
        <v>77.86</v>
      </c>
      <c r="Q85">
        <v>98.533100000000005</v>
      </c>
      <c r="R85">
        <v>1.7444999999999999</v>
      </c>
      <c r="S85">
        <v>79.36</v>
      </c>
      <c r="T85">
        <v>77.930000000000007</v>
      </c>
      <c r="U85">
        <v>344.7</v>
      </c>
      <c r="V85">
        <v>809.14</v>
      </c>
      <c r="W85">
        <v>1168.47</v>
      </c>
      <c r="X85">
        <v>989.47</v>
      </c>
      <c r="Y85">
        <v>68588.41</v>
      </c>
      <c r="Z85" t="str">
        <v>#N/A N/A</v>
      </c>
      <c r="AA85" t="str">
        <v>#N/A N/A</v>
      </c>
      <c r="AB85" t="str">
        <v>#N/A N/A</v>
      </c>
      <c r="AC85">
        <v>12.4259</v>
      </c>
      <c r="AD85">
        <v>11.86</v>
      </c>
      <c r="AE85">
        <v>10.4725</v>
      </c>
      <c r="AF85">
        <v>8.5500000000000007</v>
      </c>
      <c r="AG85">
        <v>1.4320999999999999</v>
      </c>
      <c r="AH85">
        <v>93.03</v>
      </c>
      <c r="AI85">
        <v>1.617</v>
      </c>
      <c r="AJ85">
        <v>1.0531999999999999</v>
      </c>
      <c r="AK85">
        <v>7.1608999999999998</v>
      </c>
      <c r="AL85">
        <v>1.0351999999999999</v>
      </c>
      <c r="AM85">
        <v>171.34</v>
      </c>
      <c r="AN85">
        <v>109.63</v>
      </c>
      <c r="AO85">
        <v>115.55</v>
      </c>
      <c r="AP85">
        <v>92.66</v>
      </c>
      <c r="AQ85">
        <v>90.71</v>
      </c>
    </row>
    <row r="86" spans="1:43" x14ac:dyDescent="0.25">
      <c r="A86" s="7">
        <v>40207</v>
      </c>
      <c r="B86">
        <v>6.9000000000000006E-2</v>
      </c>
      <c r="C86">
        <v>0.55300000000000005</v>
      </c>
      <c r="D86">
        <v>0.27800000000000002</v>
      </c>
      <c r="E86">
        <v>0.126</v>
      </c>
      <c r="F86">
        <v>0.81179999999999997</v>
      </c>
      <c r="G86">
        <v>1.2549999999999999</v>
      </c>
      <c r="H86">
        <v>1.119</v>
      </c>
      <c r="I86">
        <v>0.16400000000000001</v>
      </c>
      <c r="J86">
        <v>3.5844</v>
      </c>
      <c r="K86">
        <v>3.9114</v>
      </c>
      <c r="L86">
        <v>3.1960000000000002</v>
      </c>
      <c r="M86">
        <v>1.325</v>
      </c>
      <c r="N86">
        <v>24.62</v>
      </c>
      <c r="O86">
        <v>144.02000000000001</v>
      </c>
      <c r="P86">
        <v>79.462000000000003</v>
      </c>
      <c r="Q86">
        <v>98.100499999999997</v>
      </c>
      <c r="R86">
        <v>1.895</v>
      </c>
      <c r="S86">
        <v>72.89</v>
      </c>
      <c r="T86">
        <v>71.459999999999994</v>
      </c>
      <c r="U86">
        <v>342.23</v>
      </c>
      <c r="V86">
        <v>775.51</v>
      </c>
      <c r="W86">
        <v>1119.54</v>
      </c>
      <c r="X86">
        <v>933.59</v>
      </c>
      <c r="Y86">
        <v>65401.77</v>
      </c>
      <c r="Z86" t="str">
        <v>#N/A N/A</v>
      </c>
      <c r="AA86" t="str">
        <v>#N/A N/A</v>
      </c>
      <c r="AB86" t="str">
        <v>#N/A N/A</v>
      </c>
      <c r="AC86">
        <v>12.368600000000001</v>
      </c>
      <c r="AD86">
        <v>11.798299999999999</v>
      </c>
      <c r="AE86">
        <v>10.510999999999999</v>
      </c>
      <c r="AF86">
        <v>8.6300000000000008</v>
      </c>
      <c r="AG86">
        <v>1.3863000000000001</v>
      </c>
      <c r="AH86">
        <v>90.27</v>
      </c>
      <c r="AI86">
        <v>1.5986</v>
      </c>
      <c r="AJ86">
        <v>1.0704</v>
      </c>
      <c r="AK86">
        <v>7.3876999999999997</v>
      </c>
      <c r="AL86">
        <v>1.0606</v>
      </c>
      <c r="AM86">
        <v>151.49</v>
      </c>
      <c r="AN86">
        <v>106.29</v>
      </c>
      <c r="AO86">
        <v>117.26</v>
      </c>
      <c r="AP86">
        <v>94.03</v>
      </c>
      <c r="AQ86">
        <v>88.31</v>
      </c>
    </row>
    <row r="87" spans="1:43" x14ac:dyDescent="0.25">
      <c r="A87" s="7">
        <v>40235</v>
      </c>
      <c r="B87">
        <v>0.11459999999999999</v>
      </c>
      <c r="C87">
        <v>0.47299999999999998</v>
      </c>
      <c r="D87">
        <v>0.249</v>
      </c>
      <c r="E87">
        <v>0.13600000000000001</v>
      </c>
      <c r="F87">
        <v>0.81179999999999997</v>
      </c>
      <c r="G87">
        <v>0.94369999999999998</v>
      </c>
      <c r="H87">
        <v>0.95499999999999996</v>
      </c>
      <c r="I87">
        <v>0.16500000000000001</v>
      </c>
      <c r="J87">
        <v>3.6116999999999999</v>
      </c>
      <c r="K87">
        <v>4.0312999999999999</v>
      </c>
      <c r="L87">
        <v>3.101</v>
      </c>
      <c r="M87">
        <v>1.3049999999999999</v>
      </c>
      <c r="N87">
        <v>19.5</v>
      </c>
      <c r="O87">
        <v>130.15700000000001</v>
      </c>
      <c r="P87">
        <v>80.361999999999995</v>
      </c>
      <c r="Q87">
        <v>98.778099999999995</v>
      </c>
      <c r="R87">
        <v>1.8076000000000001</v>
      </c>
      <c r="S87">
        <v>79.66</v>
      </c>
      <c r="T87">
        <v>77.59</v>
      </c>
      <c r="U87">
        <v>354.7</v>
      </c>
      <c r="V87">
        <v>787.2</v>
      </c>
      <c r="W87">
        <v>1133.3499999999999</v>
      </c>
      <c r="X87">
        <v>935.93</v>
      </c>
      <c r="Y87">
        <v>66503.27</v>
      </c>
      <c r="Z87" t="str">
        <v>#N/A N/A</v>
      </c>
      <c r="AA87" t="str">
        <v>#N/A N/A</v>
      </c>
      <c r="AB87" t="str">
        <v>#N/A N/A</v>
      </c>
      <c r="AC87">
        <v>12.1076</v>
      </c>
      <c r="AD87">
        <v>11.766400000000001</v>
      </c>
      <c r="AE87">
        <v>10.780200000000001</v>
      </c>
      <c r="AF87">
        <v>8.6199999999999992</v>
      </c>
      <c r="AG87">
        <v>1.3631</v>
      </c>
      <c r="AH87">
        <v>88.97</v>
      </c>
      <c r="AI87">
        <v>1.5238</v>
      </c>
      <c r="AJ87">
        <v>1.0517000000000001</v>
      </c>
      <c r="AK87">
        <v>7.1223000000000001</v>
      </c>
      <c r="AL87">
        <v>1.0734999999999999</v>
      </c>
      <c r="AM87">
        <v>154.82</v>
      </c>
      <c r="AN87">
        <v>103.66</v>
      </c>
      <c r="AO87">
        <v>117.06</v>
      </c>
      <c r="AP87">
        <v>94.95</v>
      </c>
      <c r="AQ87">
        <v>89.57</v>
      </c>
    </row>
    <row r="88" spans="1:43" x14ac:dyDescent="0.25">
      <c r="A88" s="7">
        <v>40268</v>
      </c>
      <c r="B88">
        <v>0.15010000000000001</v>
      </c>
      <c r="C88">
        <v>0.57099999999999995</v>
      </c>
      <c r="D88">
        <v>0.28399999999999997</v>
      </c>
      <c r="E88">
        <v>0.13500000000000001</v>
      </c>
      <c r="F88">
        <v>1.0158</v>
      </c>
      <c r="G88">
        <v>1.1574</v>
      </c>
      <c r="H88">
        <v>0.95799999999999996</v>
      </c>
      <c r="I88">
        <v>0.18099999999999999</v>
      </c>
      <c r="J88">
        <v>3.8256999999999999</v>
      </c>
      <c r="K88">
        <v>3.9388000000000001</v>
      </c>
      <c r="L88">
        <v>3.0920000000000001</v>
      </c>
      <c r="M88">
        <v>1.4</v>
      </c>
      <c r="N88">
        <v>17.59</v>
      </c>
      <c r="O88">
        <v>130.536</v>
      </c>
      <c r="P88">
        <v>81.072999999999993</v>
      </c>
      <c r="Q88">
        <v>97.564499999999995</v>
      </c>
      <c r="R88">
        <v>1.7813000000000001</v>
      </c>
      <c r="S88">
        <v>83.76</v>
      </c>
      <c r="T88">
        <v>82.7</v>
      </c>
      <c r="U88">
        <v>344.27</v>
      </c>
      <c r="V88">
        <v>846.3</v>
      </c>
      <c r="W88">
        <v>1200.53</v>
      </c>
      <c r="X88">
        <v>1010.33</v>
      </c>
      <c r="Y88">
        <v>70371.539999999994</v>
      </c>
      <c r="Z88" t="str">
        <v>#N/A N/A</v>
      </c>
      <c r="AA88" t="str">
        <v>#N/A N/A</v>
      </c>
      <c r="AB88" t="str">
        <v>#N/A N/A</v>
      </c>
      <c r="AC88">
        <v>12.067</v>
      </c>
      <c r="AD88">
        <v>11.8276</v>
      </c>
      <c r="AE88">
        <v>10.844099999999999</v>
      </c>
      <c r="AF88">
        <v>8.61</v>
      </c>
      <c r="AG88">
        <v>1.351</v>
      </c>
      <c r="AH88">
        <v>93.47</v>
      </c>
      <c r="AI88">
        <v>1.5184</v>
      </c>
      <c r="AJ88">
        <v>1.0153000000000001</v>
      </c>
      <c r="AK88">
        <v>7.2186000000000003</v>
      </c>
      <c r="AL88">
        <v>1.0539000000000001</v>
      </c>
      <c r="AM88">
        <v>196.93</v>
      </c>
      <c r="AN88">
        <v>122.45</v>
      </c>
      <c r="AO88">
        <v>119.77</v>
      </c>
      <c r="AP88">
        <v>95.85</v>
      </c>
      <c r="AQ88">
        <v>100.68</v>
      </c>
    </row>
    <row r="89" spans="1:43" x14ac:dyDescent="0.25">
      <c r="A89" s="7">
        <v>40298</v>
      </c>
      <c r="B89">
        <v>0.1542</v>
      </c>
      <c r="C89">
        <v>0.51400000000000001</v>
      </c>
      <c r="D89">
        <v>0.20699999999999999</v>
      </c>
      <c r="E89">
        <v>0.13800000000000001</v>
      </c>
      <c r="F89">
        <v>0.96030000000000004</v>
      </c>
      <c r="G89">
        <v>1.1299999999999999</v>
      </c>
      <c r="H89">
        <v>0.77100000000000002</v>
      </c>
      <c r="I89">
        <v>0.17</v>
      </c>
      <c r="J89">
        <v>3.6532</v>
      </c>
      <c r="K89">
        <v>3.8517999999999999</v>
      </c>
      <c r="L89">
        <v>3.0169999999999999</v>
      </c>
      <c r="M89">
        <v>1.29</v>
      </c>
      <c r="N89">
        <v>22.05</v>
      </c>
      <c r="O89">
        <v>123.68300000000001</v>
      </c>
      <c r="P89">
        <v>81.866</v>
      </c>
      <c r="Q89">
        <v>96.369799999999998</v>
      </c>
      <c r="R89">
        <v>1.7394000000000001</v>
      </c>
      <c r="S89">
        <v>86.15</v>
      </c>
      <c r="T89">
        <v>87.44</v>
      </c>
      <c r="U89">
        <v>364.62</v>
      </c>
      <c r="V89">
        <v>832.76</v>
      </c>
      <c r="W89">
        <v>1198.56</v>
      </c>
      <c r="X89">
        <v>1020.03</v>
      </c>
      <c r="Y89">
        <v>67529.73</v>
      </c>
      <c r="Z89" t="str">
        <v>#N/A N/A</v>
      </c>
      <c r="AA89" t="str">
        <v>#N/A N/A</v>
      </c>
      <c r="AB89" t="str">
        <v>#N/A N/A</v>
      </c>
      <c r="AC89">
        <v>12.610799999999999</v>
      </c>
      <c r="AD89">
        <v>12.4765</v>
      </c>
      <c r="AE89">
        <v>11.705</v>
      </c>
      <c r="AF89">
        <v>9.3800000000000008</v>
      </c>
      <c r="AG89">
        <v>1.3293999999999999</v>
      </c>
      <c r="AH89">
        <v>93.85</v>
      </c>
      <c r="AI89">
        <v>1.5274000000000001</v>
      </c>
      <c r="AJ89">
        <v>1.0179</v>
      </c>
      <c r="AK89">
        <v>7.2519</v>
      </c>
      <c r="AL89">
        <v>1.0775999999999999</v>
      </c>
      <c r="AM89">
        <v>177.97</v>
      </c>
      <c r="AN89">
        <v>115.72</v>
      </c>
      <c r="AO89">
        <v>120.19</v>
      </c>
      <c r="AP89">
        <v>96.35</v>
      </c>
      <c r="AQ89">
        <v>96.07</v>
      </c>
    </row>
    <row r="90" spans="1:43" x14ac:dyDescent="0.25">
      <c r="A90" s="7">
        <v>40329</v>
      </c>
      <c r="B90">
        <v>0.15210000000000001</v>
      </c>
      <c r="C90">
        <v>0.52</v>
      </c>
      <c r="D90">
        <v>0.186</v>
      </c>
      <c r="E90">
        <v>0.127</v>
      </c>
      <c r="F90">
        <v>0.76580000000000004</v>
      </c>
      <c r="G90">
        <v>0.88360000000000005</v>
      </c>
      <c r="H90">
        <v>0.51400000000000001</v>
      </c>
      <c r="I90">
        <v>0.17</v>
      </c>
      <c r="J90">
        <v>3.2848000000000002</v>
      </c>
      <c r="K90">
        <v>3.5808</v>
      </c>
      <c r="L90">
        <v>2.66</v>
      </c>
      <c r="M90">
        <v>1.2649999999999999</v>
      </c>
      <c r="N90">
        <v>32.07</v>
      </c>
      <c r="O90">
        <v>135.833</v>
      </c>
      <c r="P90">
        <v>86.587999999999994</v>
      </c>
      <c r="Q90">
        <v>98.212800000000001</v>
      </c>
      <c r="R90">
        <v>1.8209</v>
      </c>
      <c r="S90">
        <v>73.97</v>
      </c>
      <c r="T90">
        <v>74.650000000000006</v>
      </c>
      <c r="U90">
        <v>354.42</v>
      </c>
      <c r="V90">
        <v>742.37</v>
      </c>
      <c r="W90">
        <v>1079.8</v>
      </c>
      <c r="X90">
        <v>926.4</v>
      </c>
      <c r="Y90">
        <v>63046.51</v>
      </c>
      <c r="Z90" t="str">
        <v>#N/A N/A</v>
      </c>
      <c r="AA90" t="str">
        <v>#N/A N/A</v>
      </c>
      <c r="AB90" t="str">
        <v>#N/A N/A</v>
      </c>
      <c r="AC90">
        <v>12.216900000000001</v>
      </c>
      <c r="AD90">
        <v>12.173999999999999</v>
      </c>
      <c r="AE90">
        <v>11.576700000000001</v>
      </c>
      <c r="AF90">
        <v>9.3699999999999992</v>
      </c>
      <c r="AG90">
        <v>1.2305999999999999</v>
      </c>
      <c r="AH90">
        <v>91.27</v>
      </c>
      <c r="AI90">
        <v>1.4538</v>
      </c>
      <c r="AJ90">
        <v>1.0445</v>
      </c>
      <c r="AK90">
        <v>7.8105000000000002</v>
      </c>
      <c r="AL90">
        <v>1.1549</v>
      </c>
      <c r="AM90">
        <v>188.12</v>
      </c>
      <c r="AN90">
        <v>121.52</v>
      </c>
      <c r="AO90">
        <v>119.83</v>
      </c>
      <c r="AP90">
        <v>95.61</v>
      </c>
      <c r="AQ90">
        <v>95.82</v>
      </c>
    </row>
    <row r="91" spans="1:43" x14ac:dyDescent="0.25">
      <c r="A91" s="7">
        <v>40359</v>
      </c>
      <c r="B91">
        <v>0.1704</v>
      </c>
      <c r="C91">
        <v>0.54300000000000004</v>
      </c>
      <c r="D91">
        <v>0.17899999999999999</v>
      </c>
      <c r="E91">
        <v>0.13</v>
      </c>
      <c r="F91">
        <v>0.60140000000000005</v>
      </c>
      <c r="G91">
        <v>0.74590000000000001</v>
      </c>
      <c r="H91">
        <v>0.6</v>
      </c>
      <c r="I91">
        <v>0.155</v>
      </c>
      <c r="J91">
        <v>2.9310999999999998</v>
      </c>
      <c r="K91">
        <v>3.3546999999999998</v>
      </c>
      <c r="L91">
        <v>2.577</v>
      </c>
      <c r="M91">
        <v>1.091</v>
      </c>
      <c r="N91">
        <v>34.54</v>
      </c>
      <c r="O91">
        <v>140.29400000000001</v>
      </c>
      <c r="P91">
        <v>86.019000000000005</v>
      </c>
      <c r="Q91">
        <v>98.608699999999999</v>
      </c>
      <c r="R91">
        <v>1.8047</v>
      </c>
      <c r="S91">
        <v>75.63</v>
      </c>
      <c r="T91">
        <v>75.010000000000005</v>
      </c>
      <c r="U91">
        <v>348.59</v>
      </c>
      <c r="V91">
        <v>721.34</v>
      </c>
      <c r="W91">
        <v>1041.32</v>
      </c>
      <c r="X91">
        <v>917.99</v>
      </c>
      <c r="Y91">
        <v>60935.9</v>
      </c>
      <c r="Z91" t="str">
        <v>#N/A N/A</v>
      </c>
      <c r="AA91" t="str">
        <v>#N/A N/A</v>
      </c>
      <c r="AB91" t="str">
        <v>#N/A N/A</v>
      </c>
      <c r="AC91">
        <v>12.1991</v>
      </c>
      <c r="AD91">
        <v>12.179399999999999</v>
      </c>
      <c r="AE91">
        <v>11.8477</v>
      </c>
      <c r="AF91">
        <v>10.119999999999999</v>
      </c>
      <c r="AG91">
        <v>1.2238</v>
      </c>
      <c r="AH91">
        <v>88.43</v>
      </c>
      <c r="AI91">
        <v>1.4944999999999999</v>
      </c>
      <c r="AJ91">
        <v>1.0639000000000001</v>
      </c>
      <c r="AK91">
        <v>7.7944000000000004</v>
      </c>
      <c r="AL91">
        <v>1.0773999999999999</v>
      </c>
      <c r="AM91">
        <v>182.22</v>
      </c>
      <c r="AN91">
        <v>119.44</v>
      </c>
      <c r="AO91">
        <v>119.36</v>
      </c>
      <c r="AP91">
        <v>95.43</v>
      </c>
      <c r="AQ91">
        <v>95.52</v>
      </c>
    </row>
    <row r="92" spans="1:43" x14ac:dyDescent="0.25">
      <c r="A92" s="7">
        <v>40389</v>
      </c>
      <c r="B92">
        <v>0.14000000000000001</v>
      </c>
      <c r="C92">
        <v>0.502</v>
      </c>
      <c r="D92">
        <v>0.248</v>
      </c>
      <c r="E92">
        <v>0.125</v>
      </c>
      <c r="F92">
        <v>0.54610000000000003</v>
      </c>
      <c r="G92">
        <v>0.77700000000000002</v>
      </c>
      <c r="H92">
        <v>0.78400000000000003</v>
      </c>
      <c r="I92">
        <v>0.155</v>
      </c>
      <c r="J92">
        <v>2.9051999999999998</v>
      </c>
      <c r="K92">
        <v>3.3245</v>
      </c>
      <c r="L92">
        <v>2.669</v>
      </c>
      <c r="M92">
        <v>1.0740000000000001</v>
      </c>
      <c r="N92">
        <v>23.5</v>
      </c>
      <c r="O92">
        <v>116.90900000000001</v>
      </c>
      <c r="P92">
        <v>81.539000000000001</v>
      </c>
      <c r="Q92">
        <v>98.243700000000004</v>
      </c>
      <c r="R92">
        <v>1.7548999999999999</v>
      </c>
      <c r="S92">
        <v>78.95</v>
      </c>
      <c r="T92">
        <v>78.180000000000007</v>
      </c>
      <c r="U92">
        <v>376.72</v>
      </c>
      <c r="V92">
        <v>776.76</v>
      </c>
      <c r="W92">
        <v>1124.83</v>
      </c>
      <c r="X92">
        <v>991.41</v>
      </c>
      <c r="Y92">
        <v>67515.399999999994</v>
      </c>
      <c r="Z92" t="str">
        <v>#N/A N/A</v>
      </c>
      <c r="AA92" t="str">
        <v>#N/A N/A</v>
      </c>
      <c r="AB92" t="str">
        <v>#N/A N/A</v>
      </c>
      <c r="AC92">
        <v>11.8817</v>
      </c>
      <c r="AD92">
        <v>11.7591</v>
      </c>
      <c r="AE92">
        <v>11.1755</v>
      </c>
      <c r="AF92">
        <v>10.63</v>
      </c>
      <c r="AG92">
        <v>1.3051999999999999</v>
      </c>
      <c r="AH92">
        <v>86.47</v>
      </c>
      <c r="AI92">
        <v>1.5689</v>
      </c>
      <c r="AJ92">
        <v>1.0297000000000001</v>
      </c>
      <c r="AK92">
        <v>7.2103999999999999</v>
      </c>
      <c r="AL92">
        <v>1.0411999999999999</v>
      </c>
      <c r="AM92">
        <v>184.09</v>
      </c>
      <c r="AN92">
        <v>124.56</v>
      </c>
      <c r="AO92">
        <v>118.61</v>
      </c>
      <c r="AP92">
        <v>95.95</v>
      </c>
      <c r="AQ92">
        <v>99.42</v>
      </c>
    </row>
    <row r="93" spans="1:43" x14ac:dyDescent="0.25">
      <c r="A93" s="7">
        <v>40421</v>
      </c>
      <c r="B93">
        <v>0.1268</v>
      </c>
      <c r="C93">
        <v>0.57599999999999996</v>
      </c>
      <c r="D93">
        <v>0.23799999999999999</v>
      </c>
      <c r="E93">
        <v>0.11799999999999999</v>
      </c>
      <c r="F93">
        <v>0.46939999999999998</v>
      </c>
      <c r="G93">
        <v>0.6462</v>
      </c>
      <c r="H93">
        <v>0.59</v>
      </c>
      <c r="I93">
        <v>0.126</v>
      </c>
      <c r="J93">
        <v>2.4683000000000002</v>
      </c>
      <c r="K93">
        <v>2.8317000000000001</v>
      </c>
      <c r="L93">
        <v>2.1160000000000001</v>
      </c>
      <c r="M93">
        <v>0.97099999999999997</v>
      </c>
      <c r="N93">
        <v>26.05</v>
      </c>
      <c r="O93">
        <v>131.46199999999999</v>
      </c>
      <c r="P93">
        <v>83.201999999999998</v>
      </c>
      <c r="Q93">
        <v>97.693100000000001</v>
      </c>
      <c r="R93">
        <v>1.7559</v>
      </c>
      <c r="S93">
        <v>71.92</v>
      </c>
      <c r="T93">
        <v>74.64</v>
      </c>
      <c r="U93">
        <v>392.63</v>
      </c>
      <c r="V93">
        <v>810.39</v>
      </c>
      <c r="W93">
        <v>1080.7</v>
      </c>
      <c r="X93">
        <v>970.05</v>
      </c>
      <c r="Y93">
        <v>65145.45</v>
      </c>
      <c r="Z93" t="str">
        <v>#N/A N/A</v>
      </c>
      <c r="AA93" t="str">
        <v>#N/A N/A</v>
      </c>
      <c r="AB93" t="str">
        <v>#N/A N/A</v>
      </c>
      <c r="AC93">
        <v>11.421799999999999</v>
      </c>
      <c r="AD93">
        <v>11.4559</v>
      </c>
      <c r="AE93">
        <v>11.102</v>
      </c>
      <c r="AF93">
        <v>10.63</v>
      </c>
      <c r="AG93">
        <v>1.268</v>
      </c>
      <c r="AH93">
        <v>84.2</v>
      </c>
      <c r="AI93">
        <v>1.5347999999999999</v>
      </c>
      <c r="AJ93">
        <v>1.0656000000000001</v>
      </c>
      <c r="AK93">
        <v>7.3844000000000003</v>
      </c>
      <c r="AL93">
        <v>1.0150999999999999</v>
      </c>
      <c r="AM93">
        <v>192.88</v>
      </c>
      <c r="AN93">
        <v>126.02</v>
      </c>
      <c r="AO93">
        <v>118.31</v>
      </c>
      <c r="AP93">
        <v>96.55</v>
      </c>
      <c r="AQ93">
        <v>99.35</v>
      </c>
    </row>
    <row r="94" spans="1:43" x14ac:dyDescent="0.25">
      <c r="A94" s="7">
        <v>40451</v>
      </c>
      <c r="B94">
        <v>0.1532</v>
      </c>
      <c r="C94">
        <v>0.56799999999999995</v>
      </c>
      <c r="D94">
        <v>0.39200000000000002</v>
      </c>
      <c r="E94">
        <v>0.12</v>
      </c>
      <c r="F94">
        <v>0.42220000000000002</v>
      </c>
      <c r="G94">
        <v>0.65310000000000001</v>
      </c>
      <c r="H94">
        <v>0.83399999999999996</v>
      </c>
      <c r="I94">
        <v>0.14099999999999999</v>
      </c>
      <c r="J94">
        <v>2.5097999999999998</v>
      </c>
      <c r="K94">
        <v>2.9497</v>
      </c>
      <c r="L94">
        <v>2.278</v>
      </c>
      <c r="M94">
        <v>0.94</v>
      </c>
      <c r="N94">
        <v>23.7</v>
      </c>
      <c r="O94">
        <v>115.902</v>
      </c>
      <c r="P94">
        <v>78.72</v>
      </c>
      <c r="Q94">
        <v>96.990700000000004</v>
      </c>
      <c r="R94">
        <v>1.7079</v>
      </c>
      <c r="S94">
        <v>79.97</v>
      </c>
      <c r="T94">
        <v>82.31</v>
      </c>
      <c r="U94">
        <v>433.2</v>
      </c>
      <c r="V94">
        <v>876.81</v>
      </c>
      <c r="W94">
        <v>1179.19</v>
      </c>
      <c r="X94">
        <v>1075.53</v>
      </c>
      <c r="Y94">
        <v>69429.78</v>
      </c>
      <c r="Z94" t="str">
        <v>#N/A N/A</v>
      </c>
      <c r="AA94" t="str">
        <v>#N/A N/A</v>
      </c>
      <c r="AB94" t="str">
        <v>#N/A N/A</v>
      </c>
      <c r="AC94">
        <v>11.8324</v>
      </c>
      <c r="AD94">
        <v>11.85</v>
      </c>
      <c r="AE94">
        <v>11.3165</v>
      </c>
      <c r="AF94">
        <v>10.61</v>
      </c>
      <c r="AG94">
        <v>1.3633999999999999</v>
      </c>
      <c r="AH94">
        <v>83.53</v>
      </c>
      <c r="AI94">
        <v>1.5716000000000001</v>
      </c>
      <c r="AJ94">
        <v>1.0291999999999999</v>
      </c>
      <c r="AK94">
        <v>6.7403000000000004</v>
      </c>
      <c r="AL94">
        <v>0.98250000000000004</v>
      </c>
      <c r="AM94">
        <v>190.02</v>
      </c>
      <c r="AN94">
        <v>123.29</v>
      </c>
      <c r="AO94">
        <v>118.57</v>
      </c>
      <c r="AP94">
        <v>97.43</v>
      </c>
      <c r="AQ94">
        <v>97.89</v>
      </c>
    </row>
    <row r="95" spans="1:43" x14ac:dyDescent="0.25">
      <c r="A95" s="7">
        <v>40480</v>
      </c>
      <c r="B95">
        <v>0.1105</v>
      </c>
      <c r="C95">
        <v>0.55100000000000005</v>
      </c>
      <c r="D95">
        <v>0.57399999999999995</v>
      </c>
      <c r="E95">
        <v>0.12</v>
      </c>
      <c r="F95">
        <v>0.3357</v>
      </c>
      <c r="G95">
        <v>0.67710000000000004</v>
      </c>
      <c r="H95">
        <v>0.98899999999999999</v>
      </c>
      <c r="I95">
        <v>0.14499999999999999</v>
      </c>
      <c r="J95">
        <v>2.5992999999999999</v>
      </c>
      <c r="K95">
        <v>3.0758999999999999</v>
      </c>
      <c r="L95">
        <v>2.5179999999999998</v>
      </c>
      <c r="M95">
        <v>0.93899999999999995</v>
      </c>
      <c r="N95">
        <v>21.2</v>
      </c>
      <c r="O95">
        <v>100.61199999999999</v>
      </c>
      <c r="P95">
        <v>77.266000000000005</v>
      </c>
      <c r="Q95">
        <v>95.146199999999993</v>
      </c>
      <c r="R95">
        <v>1.7019</v>
      </c>
      <c r="S95">
        <v>81.430000000000007</v>
      </c>
      <c r="T95">
        <v>83.15</v>
      </c>
      <c r="U95">
        <v>422.18</v>
      </c>
      <c r="V95">
        <v>887.97</v>
      </c>
      <c r="W95">
        <v>1222.23</v>
      </c>
      <c r="X95">
        <v>1105.75</v>
      </c>
      <c r="Y95">
        <v>70673.3</v>
      </c>
      <c r="Z95" t="str">
        <v>#N/A N/A</v>
      </c>
      <c r="AA95" t="str">
        <v>#N/A N/A</v>
      </c>
      <c r="AB95" t="str">
        <v>#N/A N/A</v>
      </c>
      <c r="AC95">
        <v>11.6989</v>
      </c>
      <c r="AD95">
        <v>11.712999999999999</v>
      </c>
      <c r="AE95">
        <v>11.2178</v>
      </c>
      <c r="AF95">
        <v>10.64</v>
      </c>
      <c r="AG95">
        <v>1.3947000000000001</v>
      </c>
      <c r="AH95">
        <v>80.400000000000006</v>
      </c>
      <c r="AI95">
        <v>1.6037999999999999</v>
      </c>
      <c r="AJ95">
        <v>1.0194000000000001</v>
      </c>
      <c r="AK95">
        <v>6.6702000000000004</v>
      </c>
      <c r="AL95">
        <v>0.98240000000000005</v>
      </c>
      <c r="AM95">
        <v>189.57</v>
      </c>
      <c r="AN95">
        <v>125.55</v>
      </c>
      <c r="AO95">
        <v>118.21</v>
      </c>
      <c r="AP95">
        <v>97.27</v>
      </c>
      <c r="AQ95">
        <v>97.79</v>
      </c>
    </row>
    <row r="96" spans="1:43" x14ac:dyDescent="0.25">
      <c r="A96" s="7">
        <v>40512</v>
      </c>
      <c r="B96">
        <v>0.1552</v>
      </c>
      <c r="C96">
        <v>0.54600000000000004</v>
      </c>
      <c r="D96">
        <v>0.44</v>
      </c>
      <c r="E96">
        <v>0.13200000000000001</v>
      </c>
      <c r="F96">
        <v>0.45279999999999998</v>
      </c>
      <c r="G96">
        <v>0.91300000000000003</v>
      </c>
      <c r="H96">
        <v>0.85599999999999998</v>
      </c>
      <c r="I96">
        <v>0.2</v>
      </c>
      <c r="J96">
        <v>2.7968000000000002</v>
      </c>
      <c r="K96">
        <v>3.2248999999999999</v>
      </c>
      <c r="L96">
        <v>2.67</v>
      </c>
      <c r="M96">
        <v>1.194</v>
      </c>
      <c r="N96">
        <v>23.54</v>
      </c>
      <c r="O96">
        <v>123.526</v>
      </c>
      <c r="P96">
        <v>81.194999999999993</v>
      </c>
      <c r="Q96">
        <v>95.083399999999997</v>
      </c>
      <c r="R96">
        <v>1.7129000000000001</v>
      </c>
      <c r="S96">
        <v>84.11</v>
      </c>
      <c r="T96">
        <v>85.92</v>
      </c>
      <c r="U96">
        <v>400.88</v>
      </c>
      <c r="V96">
        <v>897.94</v>
      </c>
      <c r="W96">
        <v>1193.56</v>
      </c>
      <c r="X96">
        <v>1075.8499999999999</v>
      </c>
      <c r="Y96">
        <v>67705.399999999994</v>
      </c>
      <c r="Z96" t="str">
        <v>#N/A N/A</v>
      </c>
      <c r="AA96" t="str">
        <v>#N/A N/A</v>
      </c>
      <c r="AB96" t="str">
        <v>#N/A N/A</v>
      </c>
      <c r="AC96">
        <v>12.204499999999999</v>
      </c>
      <c r="AD96">
        <v>12.2896</v>
      </c>
      <c r="AE96">
        <v>11.9491</v>
      </c>
      <c r="AF96">
        <v>10.64</v>
      </c>
      <c r="AG96">
        <v>1.2983</v>
      </c>
      <c r="AH96">
        <v>83.69</v>
      </c>
      <c r="AI96">
        <v>1.5562</v>
      </c>
      <c r="AJ96">
        <v>1.0264</v>
      </c>
      <c r="AK96">
        <v>7.0286999999999997</v>
      </c>
      <c r="AL96">
        <v>1.0034000000000001</v>
      </c>
      <c r="AM96">
        <v>201.3</v>
      </c>
      <c r="AN96">
        <v>124.43</v>
      </c>
      <c r="AO96">
        <v>119.02</v>
      </c>
      <c r="AP96">
        <v>98.36</v>
      </c>
      <c r="AQ96">
        <v>98.04</v>
      </c>
    </row>
    <row r="97" spans="1:43" x14ac:dyDescent="0.25">
      <c r="A97" s="7">
        <v>40543</v>
      </c>
      <c r="B97">
        <v>0.1197</v>
      </c>
      <c r="C97">
        <v>0.56599999999999995</v>
      </c>
      <c r="D97">
        <v>0.33800000000000002</v>
      </c>
      <c r="E97">
        <v>0.13800000000000001</v>
      </c>
      <c r="F97">
        <v>0.59340000000000004</v>
      </c>
      <c r="G97">
        <v>1.0972</v>
      </c>
      <c r="H97">
        <v>0.86399999999999999</v>
      </c>
      <c r="I97">
        <v>0.18</v>
      </c>
      <c r="J97">
        <v>3.2934999999999999</v>
      </c>
      <c r="K97">
        <v>3.3961000000000001</v>
      </c>
      <c r="L97">
        <v>2.9630000000000001</v>
      </c>
      <c r="M97">
        <v>1.1279999999999999</v>
      </c>
      <c r="N97">
        <v>17.75</v>
      </c>
      <c r="O97">
        <v>111.277</v>
      </c>
      <c r="P97">
        <v>79.028000000000006</v>
      </c>
      <c r="Q97">
        <v>95.224800000000002</v>
      </c>
      <c r="R97">
        <v>1.6613</v>
      </c>
      <c r="S97">
        <v>91.38</v>
      </c>
      <c r="T97">
        <v>94.75</v>
      </c>
      <c r="U97">
        <v>440.27</v>
      </c>
      <c r="V97">
        <v>1006.24</v>
      </c>
      <c r="W97">
        <v>1280.07</v>
      </c>
      <c r="X97">
        <v>1151.3800000000001</v>
      </c>
      <c r="Y97">
        <v>69304.81</v>
      </c>
      <c r="Z97" t="str">
        <v>#N/A N/A</v>
      </c>
      <c r="AA97" t="str">
        <v>#N/A N/A</v>
      </c>
      <c r="AB97" t="str">
        <v>#N/A N/A</v>
      </c>
      <c r="AC97">
        <v>12.2379</v>
      </c>
      <c r="AD97">
        <v>12.26</v>
      </c>
      <c r="AE97">
        <v>12.0284</v>
      </c>
      <c r="AF97">
        <v>10.64</v>
      </c>
      <c r="AG97">
        <v>1.3384</v>
      </c>
      <c r="AH97">
        <v>81.12</v>
      </c>
      <c r="AI97">
        <v>1.5611999999999999</v>
      </c>
      <c r="AJ97">
        <v>0.998</v>
      </c>
      <c r="AK97">
        <v>6.7114000000000003</v>
      </c>
      <c r="AL97">
        <v>0.93520000000000003</v>
      </c>
      <c r="AM97">
        <v>180.92</v>
      </c>
      <c r="AN97">
        <v>112.54</v>
      </c>
      <c r="AO97">
        <v>119.63</v>
      </c>
      <c r="AP97">
        <v>97.34</v>
      </c>
      <c r="AQ97">
        <v>95.94</v>
      </c>
    </row>
    <row r="98" spans="1:43" x14ac:dyDescent="0.25">
      <c r="A98" s="7">
        <v>40574</v>
      </c>
      <c r="B98">
        <v>0.14499999999999999</v>
      </c>
      <c r="C98">
        <v>0.57699999999999996</v>
      </c>
      <c r="D98">
        <v>0.48899999999999999</v>
      </c>
      <c r="E98">
        <v>0.122</v>
      </c>
      <c r="F98">
        <v>0.56200000000000006</v>
      </c>
      <c r="G98">
        <v>1.2908999999999999</v>
      </c>
      <c r="H98">
        <v>1.3680000000000001</v>
      </c>
      <c r="I98">
        <v>0.20499999999999999</v>
      </c>
      <c r="J98">
        <v>3.3704000000000001</v>
      </c>
      <c r="K98">
        <v>3.6533000000000002</v>
      </c>
      <c r="L98">
        <v>3.153</v>
      </c>
      <c r="M98">
        <v>1.2190000000000001</v>
      </c>
      <c r="N98">
        <v>19.53</v>
      </c>
      <c r="O98">
        <v>118.919</v>
      </c>
      <c r="P98">
        <v>77.734999999999999</v>
      </c>
      <c r="Q98">
        <v>94.102599999999995</v>
      </c>
      <c r="R98">
        <v>1.6736</v>
      </c>
      <c r="S98">
        <v>92.19</v>
      </c>
      <c r="T98">
        <v>101.01</v>
      </c>
      <c r="U98">
        <v>483.75</v>
      </c>
      <c r="V98">
        <v>1065.3</v>
      </c>
      <c r="W98">
        <v>1308.08</v>
      </c>
      <c r="X98">
        <v>1119.08</v>
      </c>
      <c r="Y98">
        <v>66574.880000000005</v>
      </c>
      <c r="Z98" t="str">
        <v>#N/A N/A</v>
      </c>
      <c r="AA98" t="str">
        <v>#N/A N/A</v>
      </c>
      <c r="AB98" t="str">
        <v>#N/A N/A</v>
      </c>
      <c r="AC98">
        <v>12.898899999999999</v>
      </c>
      <c r="AD98">
        <v>12.9154</v>
      </c>
      <c r="AE98">
        <v>12.4497</v>
      </c>
      <c r="AF98">
        <v>11.14</v>
      </c>
      <c r="AG98">
        <v>1.3694</v>
      </c>
      <c r="AH98">
        <v>82.04</v>
      </c>
      <c r="AI98">
        <v>1.6013999999999999</v>
      </c>
      <c r="AJ98">
        <v>1.0009999999999999</v>
      </c>
      <c r="AK98">
        <v>6.4474</v>
      </c>
      <c r="AL98">
        <v>0.94399999999999995</v>
      </c>
      <c r="AM98">
        <v>164.26</v>
      </c>
      <c r="AN98">
        <v>108.63</v>
      </c>
      <c r="AO98">
        <v>119.98</v>
      </c>
      <c r="AP98">
        <v>98.54</v>
      </c>
      <c r="AQ98">
        <v>93.12</v>
      </c>
    </row>
    <row r="99" spans="1:43" x14ac:dyDescent="0.25">
      <c r="A99" s="7">
        <v>40602</v>
      </c>
      <c r="B99">
        <v>0.13489999999999999</v>
      </c>
      <c r="C99">
        <v>0.64100000000000001</v>
      </c>
      <c r="D99">
        <v>0.438</v>
      </c>
      <c r="E99">
        <v>0.128</v>
      </c>
      <c r="F99">
        <v>0.68020000000000003</v>
      </c>
      <c r="G99">
        <v>1.3893</v>
      </c>
      <c r="H99">
        <v>1.5109999999999999</v>
      </c>
      <c r="I99">
        <v>0.25</v>
      </c>
      <c r="J99">
        <v>3.4272</v>
      </c>
      <c r="K99">
        <v>3.6000999999999999</v>
      </c>
      <c r="L99">
        <v>3.169</v>
      </c>
      <c r="M99">
        <v>1.264</v>
      </c>
      <c r="N99">
        <v>18.350000000000001</v>
      </c>
      <c r="O99">
        <v>118</v>
      </c>
      <c r="P99">
        <v>76.888999999999996</v>
      </c>
      <c r="Q99">
        <v>93.873099999999994</v>
      </c>
      <c r="R99">
        <v>1.6632</v>
      </c>
      <c r="S99">
        <v>96.97</v>
      </c>
      <c r="T99">
        <v>111.8</v>
      </c>
      <c r="U99">
        <v>494.95</v>
      </c>
      <c r="V99">
        <v>1089.8499999999999</v>
      </c>
      <c r="W99">
        <v>1351.65</v>
      </c>
      <c r="X99">
        <v>1107.77</v>
      </c>
      <c r="Y99">
        <v>67383.22</v>
      </c>
      <c r="Z99" t="str">
        <v>#N/A N/A</v>
      </c>
      <c r="AA99" t="str">
        <v>#N/A N/A</v>
      </c>
      <c r="AB99" t="str">
        <v>#N/A N/A</v>
      </c>
      <c r="AC99">
        <v>12.72</v>
      </c>
      <c r="AD99">
        <v>12.724500000000001</v>
      </c>
      <c r="AE99">
        <v>12.607799999999999</v>
      </c>
      <c r="AF99">
        <v>11.15</v>
      </c>
      <c r="AG99">
        <v>1.3806</v>
      </c>
      <c r="AH99">
        <v>81.78</v>
      </c>
      <c r="AI99">
        <v>1.6256999999999999</v>
      </c>
      <c r="AJ99">
        <v>0.97160000000000002</v>
      </c>
      <c r="AK99">
        <v>6.3249000000000004</v>
      </c>
      <c r="AL99">
        <v>0.92889999999999995</v>
      </c>
      <c r="AM99">
        <v>184.87</v>
      </c>
      <c r="AN99">
        <v>111.18</v>
      </c>
      <c r="AO99">
        <v>121.44</v>
      </c>
      <c r="AP99">
        <v>98.94</v>
      </c>
      <c r="AQ99">
        <v>95.59</v>
      </c>
    </row>
    <row r="100" spans="1:43" x14ac:dyDescent="0.25">
      <c r="A100" s="7">
        <v>40633</v>
      </c>
      <c r="B100">
        <v>9.1300000000000006E-2</v>
      </c>
      <c r="C100">
        <v>0.63</v>
      </c>
      <c r="D100">
        <v>0.749</v>
      </c>
      <c r="E100">
        <v>0.124</v>
      </c>
      <c r="F100">
        <v>0.82110000000000005</v>
      </c>
      <c r="G100">
        <v>1.3494999999999999</v>
      </c>
      <c r="H100">
        <v>1.7869999999999999</v>
      </c>
      <c r="I100">
        <v>0.21</v>
      </c>
      <c r="J100">
        <v>3.4702999999999999</v>
      </c>
      <c r="K100">
        <v>3.6873999999999998</v>
      </c>
      <c r="L100">
        <v>3.3519999999999999</v>
      </c>
      <c r="M100">
        <v>1.26</v>
      </c>
      <c r="N100">
        <v>17.739999999999998</v>
      </c>
      <c r="O100">
        <v>111.71899999999999</v>
      </c>
      <c r="P100">
        <v>75.856999999999999</v>
      </c>
      <c r="Q100">
        <v>93.526600000000002</v>
      </c>
      <c r="R100">
        <v>1.6325000000000001</v>
      </c>
      <c r="S100">
        <v>106.72</v>
      </c>
      <c r="T100">
        <v>117.36</v>
      </c>
      <c r="U100">
        <v>507.1</v>
      </c>
      <c r="V100">
        <v>1087.98</v>
      </c>
      <c r="W100">
        <v>1334.93</v>
      </c>
      <c r="X100">
        <v>1170.8699999999999</v>
      </c>
      <c r="Y100">
        <v>68586.7</v>
      </c>
      <c r="Z100" t="str">
        <v>#N/A N/A</v>
      </c>
      <c r="AA100" t="str">
        <v>#N/A N/A</v>
      </c>
      <c r="AB100" t="str">
        <v>#N/A N/A</v>
      </c>
      <c r="AC100">
        <v>12.8439</v>
      </c>
      <c r="AD100">
        <v>12.7643</v>
      </c>
      <c r="AE100">
        <v>12.288</v>
      </c>
      <c r="AF100">
        <v>11.66</v>
      </c>
      <c r="AG100">
        <v>1.4157999999999999</v>
      </c>
      <c r="AH100">
        <v>83.13</v>
      </c>
      <c r="AI100">
        <v>1.6028</v>
      </c>
      <c r="AJ100">
        <v>0.97060000000000002</v>
      </c>
      <c r="AK100">
        <v>6.3235000000000001</v>
      </c>
      <c r="AL100">
        <v>0.91900000000000004</v>
      </c>
      <c r="AM100">
        <v>197.27</v>
      </c>
      <c r="AN100">
        <v>121.63</v>
      </c>
      <c r="AO100">
        <v>121.8</v>
      </c>
      <c r="AP100">
        <v>98.95</v>
      </c>
      <c r="AQ100">
        <v>101.73</v>
      </c>
    </row>
    <row r="101" spans="1:43" x14ac:dyDescent="0.25">
      <c r="A101" s="7">
        <v>40662</v>
      </c>
      <c r="B101">
        <v>3.5499999999999997E-2</v>
      </c>
      <c r="C101">
        <v>0.53600000000000003</v>
      </c>
      <c r="D101">
        <v>0.81299999999999994</v>
      </c>
      <c r="E101">
        <v>0.125</v>
      </c>
      <c r="F101">
        <v>0.60129999999999995</v>
      </c>
      <c r="G101">
        <v>1.1960999999999999</v>
      </c>
      <c r="H101">
        <v>1.7669999999999999</v>
      </c>
      <c r="I101">
        <v>0.20499999999999999</v>
      </c>
      <c r="J101">
        <v>3.2863000000000002</v>
      </c>
      <c r="K101">
        <v>3.4264999999999999</v>
      </c>
      <c r="L101">
        <v>3.238</v>
      </c>
      <c r="M101">
        <v>1.21</v>
      </c>
      <c r="N101">
        <v>14.75</v>
      </c>
      <c r="O101">
        <v>105.34699999999999</v>
      </c>
      <c r="P101">
        <v>72.933000000000007</v>
      </c>
      <c r="Q101">
        <v>91.947199999999995</v>
      </c>
      <c r="R101">
        <v>1.5743</v>
      </c>
      <c r="S101">
        <v>113.93</v>
      </c>
      <c r="T101">
        <v>125.89</v>
      </c>
      <c r="U101">
        <v>504.11</v>
      </c>
      <c r="V101">
        <v>1077.52</v>
      </c>
      <c r="W101">
        <v>1388.62</v>
      </c>
      <c r="X101">
        <v>1204.03</v>
      </c>
      <c r="Y101">
        <v>66132.86</v>
      </c>
      <c r="Z101" t="str">
        <v>#N/A N/A</v>
      </c>
      <c r="AA101" t="str">
        <v>#N/A N/A</v>
      </c>
      <c r="AB101" t="str">
        <v>#N/A N/A</v>
      </c>
      <c r="AC101">
        <v>12.578900000000001</v>
      </c>
      <c r="AD101">
        <v>12.717599999999999</v>
      </c>
      <c r="AE101">
        <v>12.530799999999999</v>
      </c>
      <c r="AF101">
        <v>11.91</v>
      </c>
      <c r="AG101">
        <v>1.4806999999999999</v>
      </c>
      <c r="AH101">
        <v>81.19</v>
      </c>
      <c r="AI101">
        <v>1.6707000000000001</v>
      </c>
      <c r="AJ101">
        <v>0.94510000000000005</v>
      </c>
      <c r="AK101">
        <v>6.0419</v>
      </c>
      <c r="AL101">
        <v>0.86529999999999996</v>
      </c>
      <c r="AM101">
        <v>173.57</v>
      </c>
      <c r="AN101">
        <v>113.61</v>
      </c>
      <c r="AO101">
        <v>118.73</v>
      </c>
      <c r="AP101">
        <v>98.97</v>
      </c>
      <c r="AQ101">
        <v>98.19</v>
      </c>
    </row>
    <row r="102" spans="1:43" x14ac:dyDescent="0.25">
      <c r="A102" s="7">
        <v>40694</v>
      </c>
      <c r="B102">
        <v>4.5600000000000002E-2</v>
      </c>
      <c r="C102">
        <v>0.502</v>
      </c>
      <c r="D102">
        <v>0.84899999999999998</v>
      </c>
      <c r="E102">
        <v>0.11700000000000001</v>
      </c>
      <c r="F102">
        <v>0.46850000000000003</v>
      </c>
      <c r="G102">
        <v>0.91410000000000002</v>
      </c>
      <c r="H102">
        <v>1.601</v>
      </c>
      <c r="I102">
        <v>0.184</v>
      </c>
      <c r="J102">
        <v>3.0607000000000002</v>
      </c>
      <c r="K102">
        <v>3.2902999999999998</v>
      </c>
      <c r="L102">
        <v>3.0190000000000001</v>
      </c>
      <c r="M102">
        <v>1.1579999999999999</v>
      </c>
      <c r="N102">
        <v>15.45</v>
      </c>
      <c r="O102">
        <v>104.068</v>
      </c>
      <c r="P102">
        <v>74.638000000000005</v>
      </c>
      <c r="Q102">
        <v>91.814300000000003</v>
      </c>
      <c r="R102">
        <v>1.5805</v>
      </c>
      <c r="S102">
        <v>102.7</v>
      </c>
      <c r="T102">
        <v>116.73</v>
      </c>
      <c r="U102">
        <v>502.02</v>
      </c>
      <c r="V102">
        <v>1048.23</v>
      </c>
      <c r="W102">
        <v>1354.61</v>
      </c>
      <c r="X102">
        <v>1167.97</v>
      </c>
      <c r="Y102">
        <v>64620.08</v>
      </c>
      <c r="Z102" t="str">
        <v>#N/A N/A</v>
      </c>
      <c r="AA102" t="str">
        <v>#N/A N/A</v>
      </c>
      <c r="AB102" t="str">
        <v>#N/A N/A</v>
      </c>
      <c r="AC102">
        <v>12.4025</v>
      </c>
      <c r="AD102">
        <v>12.519</v>
      </c>
      <c r="AE102">
        <v>12.4651</v>
      </c>
      <c r="AF102">
        <v>11.85</v>
      </c>
      <c r="AG102">
        <v>1.4396</v>
      </c>
      <c r="AH102">
        <v>81.52</v>
      </c>
      <c r="AI102">
        <v>1.6448</v>
      </c>
      <c r="AJ102">
        <v>0.96850000000000003</v>
      </c>
      <c r="AK102">
        <v>6.1718000000000002</v>
      </c>
      <c r="AL102">
        <v>0.85399999999999998</v>
      </c>
      <c r="AM102">
        <v>196.93</v>
      </c>
      <c r="AN102">
        <v>124.81</v>
      </c>
      <c r="AO102">
        <v>122.3</v>
      </c>
      <c r="AP102">
        <v>99.15</v>
      </c>
      <c r="AQ102">
        <v>100.53</v>
      </c>
    </row>
    <row r="103" spans="1:43" x14ac:dyDescent="0.25">
      <c r="A103" s="7">
        <v>40724</v>
      </c>
      <c r="B103">
        <v>1.0200000000000001E-2</v>
      </c>
      <c r="C103">
        <v>0.505</v>
      </c>
      <c r="D103">
        <v>0.97699999999999998</v>
      </c>
      <c r="E103">
        <v>9.6000000000000002E-2</v>
      </c>
      <c r="F103">
        <v>0.45760000000000001</v>
      </c>
      <c r="G103">
        <v>0.82069999999999999</v>
      </c>
      <c r="H103">
        <v>1.603</v>
      </c>
      <c r="I103">
        <v>0.17</v>
      </c>
      <c r="J103">
        <v>3.16</v>
      </c>
      <c r="K103">
        <v>3.3784000000000001</v>
      </c>
      <c r="L103">
        <v>3.0230000000000001</v>
      </c>
      <c r="M103">
        <v>1.135</v>
      </c>
      <c r="N103">
        <v>16.52</v>
      </c>
      <c r="O103">
        <v>110.005</v>
      </c>
      <c r="P103">
        <v>74.302999999999997</v>
      </c>
      <c r="Q103">
        <v>91.8917</v>
      </c>
      <c r="R103">
        <v>1.5634999999999999</v>
      </c>
      <c r="S103">
        <v>95.42</v>
      </c>
      <c r="T103">
        <v>112.48</v>
      </c>
      <c r="U103">
        <v>484.58</v>
      </c>
      <c r="V103">
        <v>1035.83</v>
      </c>
      <c r="W103">
        <v>1331.18</v>
      </c>
      <c r="X103">
        <v>1146.22</v>
      </c>
      <c r="Y103">
        <v>62403.64</v>
      </c>
      <c r="Z103" t="str">
        <v>#N/A N/A</v>
      </c>
      <c r="AA103" t="str">
        <v>#N/A N/A</v>
      </c>
      <c r="AB103" t="str">
        <v>#N/A N/A</v>
      </c>
      <c r="AC103">
        <v>12.6128</v>
      </c>
      <c r="AD103">
        <v>12.700699999999999</v>
      </c>
      <c r="AE103">
        <v>12.649100000000001</v>
      </c>
      <c r="AF103">
        <v>12.15</v>
      </c>
      <c r="AG103">
        <v>1.4501999999999999</v>
      </c>
      <c r="AH103">
        <v>80.56</v>
      </c>
      <c r="AI103">
        <v>1.6052999999999999</v>
      </c>
      <c r="AJ103">
        <v>0.96340000000000003</v>
      </c>
      <c r="AK103">
        <v>6.3284000000000002</v>
      </c>
      <c r="AL103">
        <v>0.84040000000000004</v>
      </c>
      <c r="AM103">
        <v>191.68</v>
      </c>
      <c r="AN103">
        <v>119.8</v>
      </c>
      <c r="AO103">
        <v>120.09</v>
      </c>
      <c r="AP103">
        <v>99.58</v>
      </c>
      <c r="AQ103">
        <v>99.49</v>
      </c>
    </row>
    <row r="104" spans="1:43" x14ac:dyDescent="0.25">
      <c r="A104" s="7">
        <v>40753</v>
      </c>
      <c r="B104">
        <v>9.1499999999999998E-2</v>
      </c>
      <c r="C104">
        <v>0.50600000000000001</v>
      </c>
      <c r="D104">
        <v>0.60899999999999999</v>
      </c>
      <c r="E104">
        <v>0.106</v>
      </c>
      <c r="F104">
        <v>0.35539999999999999</v>
      </c>
      <c r="G104">
        <v>0.62709999999999999</v>
      </c>
      <c r="H104">
        <v>1.1579999999999999</v>
      </c>
      <c r="I104">
        <v>0.15</v>
      </c>
      <c r="J104">
        <v>2.7961</v>
      </c>
      <c r="K104">
        <v>2.8576000000000001</v>
      </c>
      <c r="L104">
        <v>2.5369999999999999</v>
      </c>
      <c r="M104">
        <v>1.077</v>
      </c>
      <c r="N104">
        <v>25.25</v>
      </c>
      <c r="O104">
        <v>113.553</v>
      </c>
      <c r="P104">
        <v>73.897000000000006</v>
      </c>
      <c r="Q104">
        <v>91.178200000000004</v>
      </c>
      <c r="R104">
        <v>1.5497000000000001</v>
      </c>
      <c r="S104">
        <v>95.7</v>
      </c>
      <c r="T104">
        <v>116.74</v>
      </c>
      <c r="U104">
        <v>499.02</v>
      </c>
      <c r="V104">
        <v>1078.98</v>
      </c>
      <c r="W104">
        <v>1306.05</v>
      </c>
      <c r="X104">
        <v>1137.73</v>
      </c>
      <c r="Y104">
        <v>58823.45</v>
      </c>
      <c r="Z104" t="str">
        <v>#N/A N/A</v>
      </c>
      <c r="AA104" t="str">
        <v>#N/A N/A</v>
      </c>
      <c r="AB104" t="str">
        <v>#N/A N/A</v>
      </c>
      <c r="AC104">
        <v>12.8</v>
      </c>
      <c r="AD104">
        <v>12.787599999999999</v>
      </c>
      <c r="AE104">
        <v>12.595700000000001</v>
      </c>
      <c r="AF104">
        <v>12.4</v>
      </c>
      <c r="AG104">
        <v>1.4398</v>
      </c>
      <c r="AH104">
        <v>76.760000000000005</v>
      </c>
      <c r="AI104">
        <v>1.6426000000000001</v>
      </c>
      <c r="AJ104">
        <v>0.95520000000000005</v>
      </c>
      <c r="AK104">
        <v>6.2771999999999997</v>
      </c>
      <c r="AL104">
        <v>0.78549999999999998</v>
      </c>
      <c r="AM104">
        <v>190.12</v>
      </c>
      <c r="AN104">
        <v>123.6</v>
      </c>
      <c r="AO104">
        <v>119.84</v>
      </c>
      <c r="AP104">
        <v>99.67</v>
      </c>
      <c r="AQ104">
        <v>101.91</v>
      </c>
    </row>
    <row r="105" spans="1:43" x14ac:dyDescent="0.25">
      <c r="A105" s="7">
        <v>40786</v>
      </c>
      <c r="B105">
        <v>1.0200000000000001E-2</v>
      </c>
      <c r="C105">
        <v>0.47</v>
      </c>
      <c r="D105">
        <v>0.49</v>
      </c>
      <c r="E105">
        <v>0.106</v>
      </c>
      <c r="F105">
        <v>0.19950000000000001</v>
      </c>
      <c r="G105">
        <v>0.59560000000000002</v>
      </c>
      <c r="H105">
        <v>0.71399999999999997</v>
      </c>
      <c r="I105">
        <v>0.13500000000000001</v>
      </c>
      <c r="J105">
        <v>2.2233999999999998</v>
      </c>
      <c r="K105">
        <v>2.6019000000000001</v>
      </c>
      <c r="L105">
        <v>2.2170000000000001</v>
      </c>
      <c r="M105">
        <v>1.0289999999999999</v>
      </c>
      <c r="N105">
        <v>31.62</v>
      </c>
      <c r="O105">
        <v>141.63300000000001</v>
      </c>
      <c r="P105">
        <v>74.117000000000004</v>
      </c>
      <c r="Q105">
        <v>92.427499999999995</v>
      </c>
      <c r="R105">
        <v>1.5895999999999999</v>
      </c>
      <c r="S105">
        <v>88.81</v>
      </c>
      <c r="T105">
        <v>114.85</v>
      </c>
      <c r="U105">
        <v>506.67</v>
      </c>
      <c r="V105">
        <v>995.76</v>
      </c>
      <c r="W105">
        <v>1211.22</v>
      </c>
      <c r="X105">
        <v>1033.1500000000001</v>
      </c>
      <c r="Y105">
        <v>56495.12</v>
      </c>
      <c r="Z105" t="str">
        <v>#N/A N/A</v>
      </c>
      <c r="AA105" t="str">
        <v>#N/A N/A</v>
      </c>
      <c r="AB105" t="str">
        <v>#N/A N/A</v>
      </c>
      <c r="AC105">
        <v>11.247299999999999</v>
      </c>
      <c r="AD105">
        <v>11.159000000000001</v>
      </c>
      <c r="AE105">
        <v>11.215999999999999</v>
      </c>
      <c r="AF105">
        <v>12.39</v>
      </c>
      <c r="AG105">
        <v>1.4369000000000001</v>
      </c>
      <c r="AH105">
        <v>76.66</v>
      </c>
      <c r="AI105">
        <v>1.625</v>
      </c>
      <c r="AJ105">
        <v>0.97770000000000001</v>
      </c>
      <c r="AK105">
        <v>6.3436000000000003</v>
      </c>
      <c r="AL105">
        <v>0.80600000000000005</v>
      </c>
      <c r="AM105">
        <v>209.43</v>
      </c>
      <c r="AN105">
        <v>129.13999999999999</v>
      </c>
      <c r="AO105">
        <v>118.96</v>
      </c>
      <c r="AP105">
        <v>99.58</v>
      </c>
      <c r="AQ105">
        <v>103.54</v>
      </c>
    </row>
    <row r="106" spans="1:43" x14ac:dyDescent="0.25">
      <c r="A106" s="7">
        <v>40816</v>
      </c>
      <c r="B106">
        <v>2.0299999999999999E-2</v>
      </c>
      <c r="C106">
        <v>0.48699999999999999</v>
      </c>
      <c r="D106">
        <v>0.114</v>
      </c>
      <c r="E106">
        <v>0.10299999999999999</v>
      </c>
      <c r="F106">
        <v>0.24299999999999999</v>
      </c>
      <c r="G106">
        <v>0.57220000000000004</v>
      </c>
      <c r="H106">
        <v>0.54700000000000004</v>
      </c>
      <c r="I106">
        <v>0.14199999999999999</v>
      </c>
      <c r="J106">
        <v>1.9154</v>
      </c>
      <c r="K106">
        <v>2.4268999999999998</v>
      </c>
      <c r="L106">
        <v>1.885</v>
      </c>
      <c r="M106">
        <v>1.0269999999999999</v>
      </c>
      <c r="N106">
        <v>42.96</v>
      </c>
      <c r="O106">
        <v>201.755</v>
      </c>
      <c r="P106">
        <v>78.552999999999997</v>
      </c>
      <c r="Q106">
        <v>95.489599999999996</v>
      </c>
      <c r="R106">
        <v>1.8792</v>
      </c>
      <c r="S106">
        <v>79.2</v>
      </c>
      <c r="T106">
        <v>102.76</v>
      </c>
      <c r="U106">
        <v>459.83</v>
      </c>
      <c r="V106">
        <v>861.45</v>
      </c>
      <c r="W106">
        <v>1104.06</v>
      </c>
      <c r="X106">
        <v>880.43</v>
      </c>
      <c r="Y106">
        <v>52324.42</v>
      </c>
      <c r="Z106" t="str">
        <v>#N/A N/A</v>
      </c>
      <c r="AA106" t="str">
        <v>#N/A N/A</v>
      </c>
      <c r="AB106" t="str">
        <v>#N/A N/A</v>
      </c>
      <c r="AC106">
        <v>10.9466</v>
      </c>
      <c r="AD106">
        <v>10.632099999999999</v>
      </c>
      <c r="AE106">
        <v>10.38</v>
      </c>
      <c r="AF106">
        <v>11.88</v>
      </c>
      <c r="AG106">
        <v>1.3387</v>
      </c>
      <c r="AH106">
        <v>77.06</v>
      </c>
      <c r="AI106">
        <v>1.5584</v>
      </c>
      <c r="AJ106">
        <v>1.0503</v>
      </c>
      <c r="AK106">
        <v>6.8739999999999997</v>
      </c>
      <c r="AL106">
        <v>0.90820000000000001</v>
      </c>
      <c r="AM106">
        <v>189.83</v>
      </c>
      <c r="AN106">
        <v>122.11</v>
      </c>
      <c r="AO106">
        <v>117.04</v>
      </c>
      <c r="AP106">
        <v>99.47</v>
      </c>
      <c r="AQ106">
        <v>99.88</v>
      </c>
    </row>
    <row r="107" spans="1:43" x14ac:dyDescent="0.25">
      <c r="A107" s="7">
        <v>40847</v>
      </c>
      <c r="B107">
        <v>-1.52E-2</v>
      </c>
      <c r="C107">
        <v>0.48699999999999999</v>
      </c>
      <c r="D107">
        <v>0.14199999999999999</v>
      </c>
      <c r="E107">
        <v>0.105</v>
      </c>
      <c r="F107">
        <v>0.2382</v>
      </c>
      <c r="G107">
        <v>0.52170000000000005</v>
      </c>
      <c r="H107">
        <v>0.53600000000000003</v>
      </c>
      <c r="I107">
        <v>0.14699999999999999</v>
      </c>
      <c r="J107">
        <v>2.1133000000000002</v>
      </c>
      <c r="K107">
        <v>2.4354</v>
      </c>
      <c r="L107">
        <v>2.024</v>
      </c>
      <c r="M107">
        <v>1.0409999999999999</v>
      </c>
      <c r="N107">
        <v>29.96</v>
      </c>
      <c r="O107">
        <v>139.25</v>
      </c>
      <c r="P107">
        <v>76.165999999999997</v>
      </c>
      <c r="Q107">
        <v>96.765000000000001</v>
      </c>
      <c r="R107">
        <v>1.7173</v>
      </c>
      <c r="S107">
        <v>93.19</v>
      </c>
      <c r="T107">
        <v>109.56</v>
      </c>
      <c r="U107">
        <v>472.36</v>
      </c>
      <c r="V107">
        <v>893.61</v>
      </c>
      <c r="W107">
        <v>1217.3</v>
      </c>
      <c r="X107">
        <v>995</v>
      </c>
      <c r="Y107">
        <v>58338.39</v>
      </c>
      <c r="Z107" t="str">
        <v>#N/A N/A</v>
      </c>
      <c r="AA107" t="str">
        <v>#N/A N/A</v>
      </c>
      <c r="AB107" t="str">
        <v>#N/A N/A</v>
      </c>
      <c r="AC107">
        <v>10.7776</v>
      </c>
      <c r="AD107">
        <v>10.522</v>
      </c>
      <c r="AE107">
        <v>10.3049</v>
      </c>
      <c r="AF107">
        <v>11.39</v>
      </c>
      <c r="AG107">
        <v>1.3857999999999999</v>
      </c>
      <c r="AH107">
        <v>78.17</v>
      </c>
      <c r="AI107">
        <v>1.6087</v>
      </c>
      <c r="AJ107">
        <v>1.0007999999999999</v>
      </c>
      <c r="AK107">
        <v>6.5035999999999996</v>
      </c>
      <c r="AL107">
        <v>0.877</v>
      </c>
      <c r="AM107">
        <v>189.17</v>
      </c>
      <c r="AN107">
        <v>123.84</v>
      </c>
      <c r="AO107">
        <v>115.77</v>
      </c>
      <c r="AP107">
        <v>99.4</v>
      </c>
      <c r="AQ107">
        <v>99.68</v>
      </c>
    </row>
    <row r="108" spans="1:43" x14ac:dyDescent="0.25">
      <c r="A108" s="7">
        <v>40877</v>
      </c>
      <c r="B108">
        <v>0</v>
      </c>
      <c r="C108">
        <v>0.48699999999999999</v>
      </c>
      <c r="D108">
        <v>-0.13200000000000001</v>
      </c>
      <c r="E108">
        <v>0.106</v>
      </c>
      <c r="F108">
        <v>0.25390000000000001</v>
      </c>
      <c r="G108">
        <v>0.4506</v>
      </c>
      <c r="H108">
        <v>0.33100000000000002</v>
      </c>
      <c r="I108">
        <v>0.13600000000000001</v>
      </c>
      <c r="J108">
        <v>2.0680000000000001</v>
      </c>
      <c r="K108">
        <v>2.3098000000000001</v>
      </c>
      <c r="L108">
        <v>2.2759999999999998</v>
      </c>
      <c r="M108">
        <v>1.0669999999999999</v>
      </c>
      <c r="N108">
        <v>27.8</v>
      </c>
      <c r="O108">
        <v>161.84399999999999</v>
      </c>
      <c r="P108">
        <v>78.384</v>
      </c>
      <c r="Q108">
        <v>97.343299999999999</v>
      </c>
      <c r="R108">
        <v>1.8085</v>
      </c>
      <c r="S108">
        <v>100.36</v>
      </c>
      <c r="T108">
        <v>110.52</v>
      </c>
      <c r="U108">
        <v>440</v>
      </c>
      <c r="V108">
        <v>863</v>
      </c>
      <c r="W108">
        <v>1184.5999999999999</v>
      </c>
      <c r="X108">
        <v>928.32</v>
      </c>
      <c r="Y108">
        <v>56874.98</v>
      </c>
      <c r="Z108" t="str">
        <v>#N/A N/A</v>
      </c>
      <c r="AA108" t="str">
        <v>#N/A N/A</v>
      </c>
      <c r="AB108" t="str">
        <v>#N/A N/A</v>
      </c>
      <c r="AC108">
        <v>10.173999999999999</v>
      </c>
      <c r="AD108">
        <v>9.8201999999999998</v>
      </c>
      <c r="AE108">
        <v>9.6426999999999996</v>
      </c>
      <c r="AF108">
        <v>11.36</v>
      </c>
      <c r="AG108">
        <v>1.3446</v>
      </c>
      <c r="AH108">
        <v>77.62</v>
      </c>
      <c r="AI108">
        <v>1.5704</v>
      </c>
      <c r="AJ108">
        <v>1.0174000000000001</v>
      </c>
      <c r="AK108">
        <v>6.7634999999999996</v>
      </c>
      <c r="AL108">
        <v>0.91320000000000001</v>
      </c>
      <c r="AM108">
        <v>193.94</v>
      </c>
      <c r="AN108">
        <v>121.4</v>
      </c>
      <c r="AO108">
        <v>116.31</v>
      </c>
      <c r="AP108">
        <v>99.89</v>
      </c>
      <c r="AQ108">
        <v>99.58</v>
      </c>
    </row>
    <row r="109" spans="1:43" x14ac:dyDescent="0.25">
      <c r="A109" s="7">
        <v>40907</v>
      </c>
      <c r="B109">
        <v>1.0200000000000001E-2</v>
      </c>
      <c r="C109">
        <v>0.48699999999999999</v>
      </c>
      <c r="D109">
        <v>-0.17699999999999999</v>
      </c>
      <c r="E109">
        <v>0.106</v>
      </c>
      <c r="F109">
        <v>0.23910000000000001</v>
      </c>
      <c r="G109">
        <v>0.31940000000000002</v>
      </c>
      <c r="H109">
        <v>0.13900000000000001</v>
      </c>
      <c r="I109">
        <v>0.13100000000000001</v>
      </c>
      <c r="J109">
        <v>1.8762000000000001</v>
      </c>
      <c r="K109">
        <v>1.9752000000000001</v>
      </c>
      <c r="L109">
        <v>1.825</v>
      </c>
      <c r="M109">
        <v>0.98299999999999998</v>
      </c>
      <c r="N109">
        <v>23.4</v>
      </c>
      <c r="O109">
        <v>161.58799999999999</v>
      </c>
      <c r="P109">
        <v>80.177999999999997</v>
      </c>
      <c r="Q109">
        <v>97.9846</v>
      </c>
      <c r="R109">
        <v>1.8663000000000001</v>
      </c>
      <c r="S109">
        <v>98.83</v>
      </c>
      <c r="T109">
        <v>107.38</v>
      </c>
      <c r="U109">
        <v>435.45</v>
      </c>
      <c r="V109">
        <v>839.35</v>
      </c>
      <c r="W109">
        <v>1182.5899999999999</v>
      </c>
      <c r="X109">
        <v>916.39</v>
      </c>
      <c r="Y109">
        <v>56754.080000000002</v>
      </c>
      <c r="Z109" t="str">
        <v>#N/A N/A</v>
      </c>
      <c r="AA109" t="str">
        <v>#N/A N/A</v>
      </c>
      <c r="AB109" t="str">
        <v>#N/A N/A</v>
      </c>
      <c r="AC109">
        <v>10.7235</v>
      </c>
      <c r="AD109">
        <v>10.477499999999999</v>
      </c>
      <c r="AE109">
        <v>10.039999999999999</v>
      </c>
      <c r="AF109">
        <v>10.87</v>
      </c>
      <c r="AG109">
        <v>1.2961</v>
      </c>
      <c r="AH109">
        <v>76.91</v>
      </c>
      <c r="AI109">
        <v>1.5543</v>
      </c>
      <c r="AJ109">
        <v>1.0213000000000001</v>
      </c>
      <c r="AK109">
        <v>6.8872</v>
      </c>
      <c r="AL109">
        <v>0.93810000000000004</v>
      </c>
      <c r="AM109">
        <v>180.23</v>
      </c>
      <c r="AN109">
        <v>111.5</v>
      </c>
      <c r="AO109">
        <v>119.37</v>
      </c>
      <c r="AP109">
        <v>98.93</v>
      </c>
      <c r="AQ109">
        <v>97.73</v>
      </c>
    </row>
    <row r="110" spans="1:43" x14ac:dyDescent="0.25">
      <c r="A110" s="7">
        <v>40939</v>
      </c>
      <c r="B110">
        <v>5.0799999999999998E-2</v>
      </c>
      <c r="C110">
        <v>0.48699999999999999</v>
      </c>
      <c r="D110">
        <v>-3.5000000000000003E-2</v>
      </c>
      <c r="E110">
        <v>0.104</v>
      </c>
      <c r="F110">
        <v>0.2147</v>
      </c>
      <c r="G110">
        <v>0.35210000000000002</v>
      </c>
      <c r="H110">
        <v>0.156</v>
      </c>
      <c r="I110">
        <v>0.123</v>
      </c>
      <c r="J110">
        <v>1.7970999999999999</v>
      </c>
      <c r="K110">
        <v>1.9681999999999999</v>
      </c>
      <c r="L110">
        <v>1.786</v>
      </c>
      <c r="M110">
        <v>0.96199999999999997</v>
      </c>
      <c r="N110">
        <v>19.440000000000001</v>
      </c>
      <c r="O110">
        <v>144.833</v>
      </c>
      <c r="P110">
        <v>79.287999999999997</v>
      </c>
      <c r="Q110">
        <v>96.613</v>
      </c>
      <c r="R110">
        <v>1.7471000000000001</v>
      </c>
      <c r="S110">
        <v>98.48</v>
      </c>
      <c r="T110">
        <v>110.98</v>
      </c>
      <c r="U110">
        <v>437.35</v>
      </c>
      <c r="V110">
        <v>962.05</v>
      </c>
      <c r="W110">
        <v>1240.8900000000001</v>
      </c>
      <c r="X110">
        <v>1019.39</v>
      </c>
      <c r="Y110">
        <v>63072.31</v>
      </c>
      <c r="Z110" t="str">
        <v>#N/A N/A</v>
      </c>
      <c r="AA110" t="str">
        <v>#N/A N/A</v>
      </c>
      <c r="AB110" t="str">
        <v>#N/A N/A</v>
      </c>
      <c r="AC110">
        <v>10.5145</v>
      </c>
      <c r="AD110">
        <v>10.0465</v>
      </c>
      <c r="AE110">
        <v>9.5553000000000008</v>
      </c>
      <c r="AF110">
        <v>10.31</v>
      </c>
      <c r="AG110">
        <v>1.3084</v>
      </c>
      <c r="AH110">
        <v>76.27</v>
      </c>
      <c r="AI110">
        <v>1.5760000000000001</v>
      </c>
      <c r="AJ110">
        <v>1.0025999999999999</v>
      </c>
      <c r="AK110">
        <v>6.8</v>
      </c>
      <c r="AL110">
        <v>0.92020000000000002</v>
      </c>
      <c r="AM110">
        <v>139.56</v>
      </c>
      <c r="AN110">
        <v>103.36</v>
      </c>
      <c r="AO110">
        <v>114.31</v>
      </c>
      <c r="AP110">
        <v>97.11</v>
      </c>
      <c r="AQ110">
        <v>93.04</v>
      </c>
    </row>
    <row r="111" spans="1:43" x14ac:dyDescent="0.25">
      <c r="A111" s="7">
        <v>40968</v>
      </c>
      <c r="B111">
        <v>7.6300000000000007E-2</v>
      </c>
      <c r="C111">
        <v>0.48699999999999999</v>
      </c>
      <c r="D111">
        <v>3.5999999999999997E-2</v>
      </c>
      <c r="E111">
        <v>0.107</v>
      </c>
      <c r="F111">
        <v>0.29320000000000002</v>
      </c>
      <c r="G111">
        <v>0.40820000000000001</v>
      </c>
      <c r="H111">
        <v>0.188</v>
      </c>
      <c r="I111">
        <v>0.107</v>
      </c>
      <c r="J111">
        <v>1.9704999999999999</v>
      </c>
      <c r="K111">
        <v>2.1465999999999998</v>
      </c>
      <c r="L111">
        <v>1.8169999999999999</v>
      </c>
      <c r="M111">
        <v>0.95799999999999996</v>
      </c>
      <c r="N111">
        <v>18.43</v>
      </c>
      <c r="O111">
        <v>141.006</v>
      </c>
      <c r="P111">
        <v>78.736999999999995</v>
      </c>
      <c r="Q111">
        <v>94.524199999999993</v>
      </c>
      <c r="R111">
        <v>1.7177</v>
      </c>
      <c r="S111">
        <v>107.07</v>
      </c>
      <c r="T111">
        <v>122.66</v>
      </c>
      <c r="U111">
        <v>443.31</v>
      </c>
      <c r="V111">
        <v>949.42</v>
      </c>
      <c r="W111">
        <v>1298.72</v>
      </c>
      <c r="X111">
        <v>1079.44</v>
      </c>
      <c r="Y111">
        <v>65811.73</v>
      </c>
      <c r="Z111" t="str">
        <v>#N/A N/A</v>
      </c>
      <c r="AA111" t="str">
        <v>#N/A N/A</v>
      </c>
      <c r="AB111" t="str">
        <v>#N/A N/A</v>
      </c>
      <c r="AC111">
        <v>10.3766</v>
      </c>
      <c r="AD111">
        <v>9.8157999999999994</v>
      </c>
      <c r="AE111">
        <v>9.2393999999999998</v>
      </c>
      <c r="AF111">
        <v>10.27</v>
      </c>
      <c r="AG111">
        <v>1.3325</v>
      </c>
      <c r="AH111">
        <v>81.150000000000006</v>
      </c>
      <c r="AI111">
        <v>1.5916999999999999</v>
      </c>
      <c r="AJ111">
        <v>0.9899</v>
      </c>
      <c r="AK111">
        <v>6.6193999999999997</v>
      </c>
      <c r="AL111">
        <v>0.90439999999999998</v>
      </c>
      <c r="AM111">
        <v>152.38</v>
      </c>
      <c r="AN111">
        <v>104.68</v>
      </c>
      <c r="AO111">
        <v>115.23</v>
      </c>
      <c r="AP111">
        <v>98.04</v>
      </c>
      <c r="AQ111">
        <v>94.44</v>
      </c>
    </row>
    <row r="112" spans="1:43" x14ac:dyDescent="0.25">
      <c r="A112" s="7">
        <v>40998</v>
      </c>
      <c r="B112">
        <v>6.6100000000000006E-2</v>
      </c>
      <c r="C112">
        <v>0.48699999999999999</v>
      </c>
      <c r="D112">
        <v>-2.5000000000000001E-2</v>
      </c>
      <c r="E112">
        <v>0.104</v>
      </c>
      <c r="F112">
        <v>0.32869999999999999</v>
      </c>
      <c r="G112">
        <v>0.41499999999999998</v>
      </c>
      <c r="H112">
        <v>0.20399999999999999</v>
      </c>
      <c r="I112">
        <v>0.113</v>
      </c>
      <c r="J112">
        <v>2.2088000000000001</v>
      </c>
      <c r="K112">
        <v>2.2014</v>
      </c>
      <c r="L112">
        <v>1.792</v>
      </c>
      <c r="M112">
        <v>0.98399999999999999</v>
      </c>
      <c r="N112">
        <v>15.5</v>
      </c>
      <c r="O112">
        <v>122.17</v>
      </c>
      <c r="P112">
        <v>79.004000000000005</v>
      </c>
      <c r="Q112">
        <v>94.913200000000003</v>
      </c>
      <c r="R112">
        <v>1.8263</v>
      </c>
      <c r="S112">
        <v>103.02</v>
      </c>
      <c r="T112">
        <v>122.88</v>
      </c>
      <c r="U112">
        <v>440.46</v>
      </c>
      <c r="V112">
        <v>923.66</v>
      </c>
      <c r="W112">
        <v>1312.01</v>
      </c>
      <c r="X112">
        <v>1041.45</v>
      </c>
      <c r="Y112">
        <v>64510.97</v>
      </c>
      <c r="Z112" t="str">
        <v>#N/A N/A</v>
      </c>
      <c r="AA112" t="str">
        <v>#N/A N/A</v>
      </c>
      <c r="AB112" t="str">
        <v>#N/A N/A</v>
      </c>
      <c r="AC112">
        <v>10.183</v>
      </c>
      <c r="AD112">
        <v>9.7234999999999996</v>
      </c>
      <c r="AE112">
        <v>8.9776000000000007</v>
      </c>
      <c r="AF112">
        <v>9.52</v>
      </c>
      <c r="AG112">
        <v>1.3343</v>
      </c>
      <c r="AH112">
        <v>82.87</v>
      </c>
      <c r="AI112">
        <v>1.6008</v>
      </c>
      <c r="AJ112">
        <v>0.99870000000000003</v>
      </c>
      <c r="AK112">
        <v>6.6147</v>
      </c>
      <c r="AL112">
        <v>0.90249999999999997</v>
      </c>
      <c r="AM112">
        <v>181.49</v>
      </c>
      <c r="AN112">
        <v>116.18</v>
      </c>
      <c r="AO112">
        <v>114.69</v>
      </c>
      <c r="AP112">
        <v>97.82</v>
      </c>
      <c r="AQ112">
        <v>102.12</v>
      </c>
    </row>
    <row r="113" spans="1:43" x14ac:dyDescent="0.25">
      <c r="A113" s="7">
        <v>41029</v>
      </c>
      <c r="B113">
        <v>9.1499999999999998E-2</v>
      </c>
      <c r="C113">
        <v>0.48699999999999999</v>
      </c>
      <c r="D113">
        <v>0</v>
      </c>
      <c r="E113">
        <v>0.104</v>
      </c>
      <c r="F113">
        <v>0.25590000000000002</v>
      </c>
      <c r="G113">
        <v>0.44500000000000001</v>
      </c>
      <c r="H113">
        <v>7.5999999999999998E-2</v>
      </c>
      <c r="I113">
        <v>0.10299999999999999</v>
      </c>
      <c r="J113">
        <v>1.9137</v>
      </c>
      <c r="K113">
        <v>2.1109</v>
      </c>
      <c r="L113">
        <v>1.6619999999999999</v>
      </c>
      <c r="M113">
        <v>0.89200000000000002</v>
      </c>
      <c r="N113">
        <v>17.149999999999999</v>
      </c>
      <c r="O113">
        <v>122.916</v>
      </c>
      <c r="P113">
        <v>78.775999999999996</v>
      </c>
      <c r="Q113">
        <v>95.742999999999995</v>
      </c>
      <c r="R113">
        <v>1.9073</v>
      </c>
      <c r="S113">
        <v>104.87</v>
      </c>
      <c r="T113">
        <v>119.47</v>
      </c>
      <c r="U113">
        <v>425.29</v>
      </c>
      <c r="V113">
        <v>919.45</v>
      </c>
      <c r="W113">
        <v>1293.99</v>
      </c>
      <c r="X113">
        <v>1026.02</v>
      </c>
      <c r="Y113">
        <v>61820.26</v>
      </c>
      <c r="Z113" t="str">
        <v>#N/A N/A</v>
      </c>
      <c r="AA113" t="str">
        <v>#N/A N/A</v>
      </c>
      <c r="AB113" t="str">
        <v>#N/A N/A</v>
      </c>
      <c r="AC113">
        <v>9.5221</v>
      </c>
      <c r="AD113">
        <v>8.9964999999999993</v>
      </c>
      <c r="AE113">
        <v>8.3338000000000001</v>
      </c>
      <c r="AF113">
        <v>8.6999999999999993</v>
      </c>
      <c r="AG113">
        <v>1.3239000000000001</v>
      </c>
      <c r="AH113">
        <v>79.819999999999993</v>
      </c>
      <c r="AI113">
        <v>1.6234</v>
      </c>
      <c r="AJ113">
        <v>0.98719999999999997</v>
      </c>
      <c r="AK113">
        <v>6.7232000000000003</v>
      </c>
      <c r="AL113">
        <v>0.90749999999999997</v>
      </c>
      <c r="AM113">
        <v>160.75</v>
      </c>
      <c r="AN113">
        <v>108.1</v>
      </c>
      <c r="AO113">
        <v>114.61</v>
      </c>
      <c r="AP113">
        <v>98.3</v>
      </c>
      <c r="AQ113">
        <v>97.58</v>
      </c>
    </row>
    <row r="114" spans="1:43" x14ac:dyDescent="0.25">
      <c r="A114" s="7">
        <v>41060</v>
      </c>
      <c r="B114">
        <v>6.59E-2</v>
      </c>
      <c r="C114">
        <v>0.48699999999999999</v>
      </c>
      <c r="D114">
        <v>-2.5000000000000001E-2</v>
      </c>
      <c r="E114">
        <v>0.107</v>
      </c>
      <c r="F114">
        <v>0.26179999999999998</v>
      </c>
      <c r="G114">
        <v>0.2278</v>
      </c>
      <c r="H114">
        <v>7.0000000000000001E-3</v>
      </c>
      <c r="I114">
        <v>0.10100000000000001</v>
      </c>
      <c r="J114">
        <v>1.5578000000000001</v>
      </c>
      <c r="K114">
        <v>1.5683</v>
      </c>
      <c r="L114">
        <v>1.1990000000000001</v>
      </c>
      <c r="M114">
        <v>0.81899999999999995</v>
      </c>
      <c r="N114">
        <v>24.06</v>
      </c>
      <c r="O114">
        <v>171.13300000000001</v>
      </c>
      <c r="P114">
        <v>83.043000000000006</v>
      </c>
      <c r="Q114">
        <v>97.8078</v>
      </c>
      <c r="R114">
        <v>2.0226000000000002</v>
      </c>
      <c r="S114">
        <v>86.53</v>
      </c>
      <c r="T114">
        <v>101.87</v>
      </c>
      <c r="U114">
        <v>418.66</v>
      </c>
      <c r="V114">
        <v>854.4</v>
      </c>
      <c r="W114">
        <v>1177.6400000000001</v>
      </c>
      <c r="X114">
        <v>906.3</v>
      </c>
      <c r="Y114">
        <v>54490.41</v>
      </c>
      <c r="Z114" t="str">
        <v>#N/A N/A</v>
      </c>
      <c r="AA114" t="str">
        <v>#N/A N/A</v>
      </c>
      <c r="AB114" t="str">
        <v>#N/A N/A</v>
      </c>
      <c r="AC114">
        <v>9.1722000000000001</v>
      </c>
      <c r="AD114">
        <v>8.4893000000000001</v>
      </c>
      <c r="AE114">
        <v>7.9481999999999999</v>
      </c>
      <c r="AF114">
        <v>8.33</v>
      </c>
      <c r="AG114">
        <v>1.2364999999999999</v>
      </c>
      <c r="AH114">
        <v>78.319999999999993</v>
      </c>
      <c r="AI114">
        <v>1.5405</v>
      </c>
      <c r="AJ114">
        <v>1.0327999999999999</v>
      </c>
      <c r="AK114">
        <v>7.2683999999999997</v>
      </c>
      <c r="AL114">
        <v>0.97130000000000005</v>
      </c>
      <c r="AM114">
        <v>173.59</v>
      </c>
      <c r="AN114">
        <v>119.39</v>
      </c>
      <c r="AO114">
        <v>115.2</v>
      </c>
      <c r="AP114">
        <v>99.44</v>
      </c>
      <c r="AQ114">
        <v>100.87</v>
      </c>
    </row>
    <row r="115" spans="1:43" x14ac:dyDescent="0.25">
      <c r="A115" s="7">
        <v>41089</v>
      </c>
      <c r="B115">
        <v>8.1100000000000005E-2</v>
      </c>
      <c r="C115">
        <v>0.48699999999999999</v>
      </c>
      <c r="D115">
        <v>-2.1000000000000001E-2</v>
      </c>
      <c r="E115">
        <v>0.104</v>
      </c>
      <c r="F115">
        <v>0.30109999999999998</v>
      </c>
      <c r="G115">
        <v>0.2732</v>
      </c>
      <c r="H115">
        <v>0.12</v>
      </c>
      <c r="I115">
        <v>0.109</v>
      </c>
      <c r="J115">
        <v>1.6449</v>
      </c>
      <c r="K115">
        <v>1.7314000000000001</v>
      </c>
      <c r="L115">
        <v>1.581</v>
      </c>
      <c r="M115">
        <v>0.83199999999999996</v>
      </c>
      <c r="N115">
        <v>17.079999999999998</v>
      </c>
      <c r="O115">
        <v>157.24600000000001</v>
      </c>
      <c r="P115">
        <v>81.626999999999995</v>
      </c>
      <c r="Q115">
        <v>99.219300000000004</v>
      </c>
      <c r="R115">
        <v>2.0093000000000001</v>
      </c>
      <c r="S115">
        <v>84.96</v>
      </c>
      <c r="T115">
        <v>97.8</v>
      </c>
      <c r="U115">
        <v>439.28</v>
      </c>
      <c r="V115">
        <v>819.79</v>
      </c>
      <c r="W115">
        <v>1235.72</v>
      </c>
      <c r="X115">
        <v>937.35</v>
      </c>
      <c r="Y115">
        <v>54354.63</v>
      </c>
      <c r="Z115" t="str">
        <v>#N/A N/A</v>
      </c>
      <c r="AA115" t="str">
        <v>#N/A N/A</v>
      </c>
      <c r="AB115" t="str">
        <v>#N/A N/A</v>
      </c>
      <c r="AC115">
        <v>8.7882999999999996</v>
      </c>
      <c r="AD115">
        <v>8.1860999999999997</v>
      </c>
      <c r="AE115">
        <v>7.5857000000000001</v>
      </c>
      <c r="AF115">
        <v>8.3800000000000008</v>
      </c>
      <c r="AG115">
        <v>1.2666999999999999</v>
      </c>
      <c r="AH115">
        <v>79.790000000000006</v>
      </c>
      <c r="AI115">
        <v>1.5707</v>
      </c>
      <c r="AJ115">
        <v>1.0165999999999999</v>
      </c>
      <c r="AK115">
        <v>6.9223999999999997</v>
      </c>
      <c r="AL115">
        <v>0.94850000000000001</v>
      </c>
      <c r="AM115">
        <v>162.11000000000001</v>
      </c>
      <c r="AN115">
        <v>114.5</v>
      </c>
      <c r="AO115">
        <v>115.45</v>
      </c>
      <c r="AP115">
        <v>100.15</v>
      </c>
      <c r="AQ115">
        <v>99.27</v>
      </c>
    </row>
    <row r="116" spans="1:43" x14ac:dyDescent="0.25">
      <c r="A116" s="7">
        <v>41121</v>
      </c>
      <c r="B116">
        <v>9.6299999999999997E-2</v>
      </c>
      <c r="C116">
        <v>0.32</v>
      </c>
      <c r="D116">
        <v>-0.17</v>
      </c>
      <c r="E116">
        <v>0.10199999999999999</v>
      </c>
      <c r="F116">
        <v>0.21129999999999999</v>
      </c>
      <c r="G116">
        <v>8.0100000000000005E-2</v>
      </c>
      <c r="H116">
        <v>-9.4E-2</v>
      </c>
      <c r="I116">
        <v>9.8000000000000004E-2</v>
      </c>
      <c r="J116">
        <v>1.4679</v>
      </c>
      <c r="K116">
        <v>1.4682999999999999</v>
      </c>
      <c r="L116">
        <v>1.284</v>
      </c>
      <c r="M116">
        <v>0.78900000000000003</v>
      </c>
      <c r="N116">
        <v>18.93</v>
      </c>
      <c r="O116">
        <v>132.66999999999999</v>
      </c>
      <c r="P116">
        <v>82.635000000000005</v>
      </c>
      <c r="Q116">
        <v>97.993300000000005</v>
      </c>
      <c r="R116">
        <v>2.0569000000000002</v>
      </c>
      <c r="S116">
        <v>88.06</v>
      </c>
      <c r="T116">
        <v>104.92</v>
      </c>
      <c r="U116">
        <v>455.78</v>
      </c>
      <c r="V116">
        <v>791.68</v>
      </c>
      <c r="W116">
        <v>1250.57</v>
      </c>
      <c r="X116">
        <v>952.49</v>
      </c>
      <c r="Y116">
        <v>56097.05</v>
      </c>
      <c r="Z116" t="str">
        <v>#N/A N/A</v>
      </c>
      <c r="AA116" t="str">
        <v>#N/A N/A</v>
      </c>
      <c r="AB116" t="str">
        <v>#N/A N/A</v>
      </c>
      <c r="AC116">
        <v>8.6483000000000008</v>
      </c>
      <c r="AD116">
        <v>8.1971000000000007</v>
      </c>
      <c r="AE116">
        <v>7.4642999999999997</v>
      </c>
      <c r="AF116">
        <v>7.83</v>
      </c>
      <c r="AG116">
        <v>1.2303999999999999</v>
      </c>
      <c r="AH116">
        <v>78.12</v>
      </c>
      <c r="AI116">
        <v>1.5678000000000001</v>
      </c>
      <c r="AJ116">
        <v>1.0031000000000001</v>
      </c>
      <c r="AK116">
        <v>6.7988</v>
      </c>
      <c r="AL116">
        <v>0.97640000000000005</v>
      </c>
      <c r="AM116">
        <v>172.6</v>
      </c>
      <c r="AN116">
        <v>121.77</v>
      </c>
      <c r="AO116">
        <v>116.99</v>
      </c>
      <c r="AP116">
        <v>100.32</v>
      </c>
      <c r="AQ116">
        <v>102.89</v>
      </c>
    </row>
    <row r="117" spans="1:43" x14ac:dyDescent="0.25">
      <c r="A117" s="7">
        <v>41152</v>
      </c>
      <c r="B117">
        <v>7.0999999999999994E-2</v>
      </c>
      <c r="C117">
        <v>0.27400000000000002</v>
      </c>
      <c r="D117">
        <v>-0.114</v>
      </c>
      <c r="E117">
        <v>0.104</v>
      </c>
      <c r="F117">
        <v>0.2205</v>
      </c>
      <c r="G117">
        <v>7.0900000000000005E-2</v>
      </c>
      <c r="H117">
        <v>-3.6999999999999998E-2</v>
      </c>
      <c r="I117">
        <v>0.09</v>
      </c>
      <c r="J117">
        <v>1.5484</v>
      </c>
      <c r="K117">
        <v>1.4626999999999999</v>
      </c>
      <c r="L117">
        <v>1.333</v>
      </c>
      <c r="M117">
        <v>0.79200000000000004</v>
      </c>
      <c r="N117">
        <v>17.47</v>
      </c>
      <c r="O117">
        <v>131.01900000000001</v>
      </c>
      <c r="P117">
        <v>81.207999999999998</v>
      </c>
      <c r="Q117">
        <v>97.448499999999996</v>
      </c>
      <c r="R117">
        <v>2.0297000000000001</v>
      </c>
      <c r="S117">
        <v>96.47</v>
      </c>
      <c r="T117">
        <v>114.57</v>
      </c>
      <c r="U117">
        <v>452.13</v>
      </c>
      <c r="V117">
        <v>849.03</v>
      </c>
      <c r="W117">
        <v>1279.21</v>
      </c>
      <c r="X117">
        <v>947.33</v>
      </c>
      <c r="Y117">
        <v>57061.45</v>
      </c>
      <c r="Z117" t="str">
        <v>#N/A N/A</v>
      </c>
      <c r="AA117" t="str">
        <v>#N/A N/A</v>
      </c>
      <c r="AB117" t="str">
        <v>#N/A N/A</v>
      </c>
      <c r="AC117">
        <v>8.6641999999999992</v>
      </c>
      <c r="AD117">
        <v>8.2837999999999994</v>
      </c>
      <c r="AE117">
        <v>7.5126999999999997</v>
      </c>
      <c r="AF117">
        <v>7.38</v>
      </c>
      <c r="AG117">
        <v>1.2579</v>
      </c>
      <c r="AH117">
        <v>78.39</v>
      </c>
      <c r="AI117">
        <v>1.5866</v>
      </c>
      <c r="AJ117">
        <v>0.98629999999999995</v>
      </c>
      <c r="AK117">
        <v>6.6261000000000001</v>
      </c>
      <c r="AL117">
        <v>0.95489999999999997</v>
      </c>
      <c r="AM117">
        <v>182.23</v>
      </c>
      <c r="AN117">
        <v>129.94999999999999</v>
      </c>
      <c r="AO117">
        <v>119.55</v>
      </c>
      <c r="AP117">
        <v>100.66</v>
      </c>
      <c r="AQ117">
        <v>104.6</v>
      </c>
    </row>
    <row r="118" spans="1:43" x14ac:dyDescent="0.25">
      <c r="A118" s="7">
        <v>41180</v>
      </c>
      <c r="B118">
        <v>9.1300000000000006E-2</v>
      </c>
      <c r="C118">
        <v>0.28000000000000003</v>
      </c>
      <c r="D118">
        <v>-4.2000000000000003E-2</v>
      </c>
      <c r="E118">
        <v>0.106</v>
      </c>
      <c r="F118">
        <v>0.23039999999999999</v>
      </c>
      <c r="G118">
        <v>0.18490000000000001</v>
      </c>
      <c r="H118">
        <v>1.7999999999999999E-2</v>
      </c>
      <c r="I118">
        <v>9.2999999999999999E-2</v>
      </c>
      <c r="J118">
        <v>1.6335</v>
      </c>
      <c r="K118">
        <v>1.7255</v>
      </c>
      <c r="L118">
        <v>1.4410000000000001</v>
      </c>
      <c r="M118">
        <v>0.77200000000000002</v>
      </c>
      <c r="N118">
        <v>15.73</v>
      </c>
      <c r="O118">
        <v>112.825</v>
      </c>
      <c r="P118">
        <v>79.935000000000002</v>
      </c>
      <c r="Q118">
        <v>96.388300000000001</v>
      </c>
      <c r="R118">
        <v>2.0257999999999998</v>
      </c>
      <c r="S118">
        <v>92.19</v>
      </c>
      <c r="T118">
        <v>112.39</v>
      </c>
      <c r="U118">
        <v>452.57</v>
      </c>
      <c r="V118">
        <v>903.8</v>
      </c>
      <c r="W118">
        <v>1311.5</v>
      </c>
      <c r="X118">
        <v>1002.66</v>
      </c>
      <c r="Y118">
        <v>59175.86</v>
      </c>
      <c r="Z118" t="str">
        <v>#N/A N/A</v>
      </c>
      <c r="AA118" t="str">
        <v>#N/A N/A</v>
      </c>
      <c r="AB118" t="str">
        <v>#N/A N/A</v>
      </c>
      <c r="AC118">
        <v>8.5815999999999999</v>
      </c>
      <c r="AD118">
        <v>8.16</v>
      </c>
      <c r="AE118">
        <v>7.48</v>
      </c>
      <c r="AF118">
        <v>7.36</v>
      </c>
      <c r="AG118">
        <v>1.286</v>
      </c>
      <c r="AH118">
        <v>77.959999999999994</v>
      </c>
      <c r="AI118">
        <v>1.6167</v>
      </c>
      <c r="AJ118">
        <v>0.98370000000000002</v>
      </c>
      <c r="AK118">
        <v>6.5650000000000004</v>
      </c>
      <c r="AL118">
        <v>0.93979999999999997</v>
      </c>
      <c r="AM118">
        <v>162.5</v>
      </c>
      <c r="AN118">
        <v>120.52</v>
      </c>
      <c r="AO118">
        <v>117.15</v>
      </c>
      <c r="AP118">
        <v>100.2</v>
      </c>
      <c r="AQ118">
        <v>98.8</v>
      </c>
    </row>
    <row r="119" spans="1:43" x14ac:dyDescent="0.25">
      <c r="A119" s="7">
        <v>41213</v>
      </c>
      <c r="B119">
        <v>0.1065</v>
      </c>
      <c r="C119">
        <v>0.27800000000000002</v>
      </c>
      <c r="D119">
        <v>-7.6999999999999999E-2</v>
      </c>
      <c r="E119">
        <v>0.10299999999999999</v>
      </c>
      <c r="F119">
        <v>0.28139999999999998</v>
      </c>
      <c r="G119">
        <v>0.26019999999999999</v>
      </c>
      <c r="H119">
        <v>3.5000000000000003E-2</v>
      </c>
      <c r="I119">
        <v>9.5000000000000001E-2</v>
      </c>
      <c r="J119">
        <v>1.6900999999999999</v>
      </c>
      <c r="K119">
        <v>1.8506</v>
      </c>
      <c r="L119">
        <v>1.462</v>
      </c>
      <c r="M119">
        <v>0.77</v>
      </c>
      <c r="N119">
        <v>18.600000000000001</v>
      </c>
      <c r="O119">
        <v>112.32299999999999</v>
      </c>
      <c r="P119">
        <v>79.918999999999997</v>
      </c>
      <c r="Q119">
        <v>95.727699999999999</v>
      </c>
      <c r="R119">
        <v>2.0299</v>
      </c>
      <c r="S119">
        <v>86.24</v>
      </c>
      <c r="T119">
        <v>108.7</v>
      </c>
      <c r="U119">
        <v>444.05</v>
      </c>
      <c r="V119">
        <v>826.54</v>
      </c>
      <c r="W119">
        <v>1301.52</v>
      </c>
      <c r="X119">
        <v>995.33</v>
      </c>
      <c r="Y119">
        <v>57068.18</v>
      </c>
      <c r="Z119" t="str">
        <v>#N/A N/A</v>
      </c>
      <c r="AA119" t="str">
        <v>#N/A N/A</v>
      </c>
      <c r="AB119" t="str">
        <v>#N/A N/A</v>
      </c>
      <c r="AC119">
        <v>8.0925999999999991</v>
      </c>
      <c r="AD119">
        <v>7.7474999999999996</v>
      </c>
      <c r="AE119">
        <v>7.2558999999999996</v>
      </c>
      <c r="AF119">
        <v>7.09</v>
      </c>
      <c r="AG119">
        <v>1.296</v>
      </c>
      <c r="AH119">
        <v>79.77</v>
      </c>
      <c r="AI119">
        <v>1.6129</v>
      </c>
      <c r="AJ119">
        <v>0.99939999999999996</v>
      </c>
      <c r="AK119">
        <v>6.6345999999999998</v>
      </c>
      <c r="AL119">
        <v>0.93149999999999999</v>
      </c>
      <c r="AM119">
        <v>179.48</v>
      </c>
      <c r="AN119">
        <v>130.27000000000001</v>
      </c>
      <c r="AO119">
        <v>118.93</v>
      </c>
      <c r="AP119">
        <v>101.05</v>
      </c>
      <c r="AQ119">
        <v>103.06</v>
      </c>
    </row>
    <row r="120" spans="1:43" x14ac:dyDescent="0.25">
      <c r="A120" s="7">
        <v>41243</v>
      </c>
      <c r="B120">
        <v>7.6100000000000001E-2</v>
      </c>
      <c r="C120">
        <v>0.26600000000000001</v>
      </c>
      <c r="D120">
        <v>-5.2999999999999999E-2</v>
      </c>
      <c r="E120">
        <v>0.106</v>
      </c>
      <c r="F120">
        <v>0.24610000000000001</v>
      </c>
      <c r="G120">
        <v>0.31059999999999999</v>
      </c>
      <c r="H120">
        <v>7.0000000000000001E-3</v>
      </c>
      <c r="I120">
        <v>9.2999999999999999E-2</v>
      </c>
      <c r="J120">
        <v>1.6155999999999999</v>
      </c>
      <c r="K120">
        <v>1.7730999999999999</v>
      </c>
      <c r="L120">
        <v>1.385</v>
      </c>
      <c r="M120">
        <v>0.71</v>
      </c>
      <c r="N120">
        <v>15.87</v>
      </c>
      <c r="O120">
        <v>110.815</v>
      </c>
      <c r="P120">
        <v>80.153000000000006</v>
      </c>
      <c r="Q120">
        <v>96.085400000000007</v>
      </c>
      <c r="R120">
        <v>2.1360000000000001</v>
      </c>
      <c r="S120">
        <v>88.91</v>
      </c>
      <c r="T120">
        <v>111.23</v>
      </c>
      <c r="U120">
        <v>441.06</v>
      </c>
      <c r="V120">
        <v>887.9</v>
      </c>
      <c r="W120">
        <v>1315.49</v>
      </c>
      <c r="X120">
        <v>1007.02</v>
      </c>
      <c r="Y120">
        <v>57474.57</v>
      </c>
      <c r="Z120" t="str">
        <v>#N/A N/A</v>
      </c>
      <c r="AA120" t="str">
        <v>#N/A N/A</v>
      </c>
      <c r="AB120" t="str">
        <v>#N/A N/A</v>
      </c>
      <c r="AC120">
        <v>8.3145000000000007</v>
      </c>
      <c r="AD120">
        <v>7.7613000000000003</v>
      </c>
      <c r="AE120">
        <v>7.1811999999999996</v>
      </c>
      <c r="AF120">
        <v>7.06</v>
      </c>
      <c r="AG120">
        <v>1.2986</v>
      </c>
      <c r="AH120">
        <v>82.48</v>
      </c>
      <c r="AI120">
        <v>1.6012999999999999</v>
      </c>
      <c r="AJ120">
        <v>0.99439999999999995</v>
      </c>
      <c r="AK120">
        <v>6.6608000000000001</v>
      </c>
      <c r="AL120">
        <v>0.92810000000000004</v>
      </c>
      <c r="AM120">
        <v>174.98</v>
      </c>
      <c r="AN120">
        <v>122.16</v>
      </c>
      <c r="AO120">
        <v>117.35</v>
      </c>
      <c r="AP120">
        <v>100.93</v>
      </c>
      <c r="AQ120">
        <v>100.58</v>
      </c>
    </row>
    <row r="121" spans="1:43" x14ac:dyDescent="0.25">
      <c r="A121" s="7">
        <v>41274</v>
      </c>
      <c r="B121">
        <v>4.0599999999999997E-2</v>
      </c>
      <c r="C121">
        <v>0.27</v>
      </c>
      <c r="D121">
        <v>-5.1999999999999998E-2</v>
      </c>
      <c r="E121">
        <v>0.109</v>
      </c>
      <c r="F121">
        <v>0.24679999999999999</v>
      </c>
      <c r="G121">
        <v>0.31559999999999999</v>
      </c>
      <c r="H121">
        <v>-2.1000000000000001E-2</v>
      </c>
      <c r="I121">
        <v>9.2999999999999999E-2</v>
      </c>
      <c r="J121">
        <v>1.7574000000000001</v>
      </c>
      <c r="K121">
        <v>1.8257000000000001</v>
      </c>
      <c r="L121">
        <v>1.3140000000000001</v>
      </c>
      <c r="M121">
        <v>0.78600000000000003</v>
      </c>
      <c r="N121">
        <v>18.02</v>
      </c>
      <c r="O121">
        <v>108.449</v>
      </c>
      <c r="P121">
        <v>79.769000000000005</v>
      </c>
      <c r="Q121">
        <v>95.530900000000003</v>
      </c>
      <c r="R121">
        <v>2.0428000000000002</v>
      </c>
      <c r="S121">
        <v>91.82</v>
      </c>
      <c r="T121">
        <v>111.11</v>
      </c>
      <c r="U121">
        <v>423.87</v>
      </c>
      <c r="V121">
        <v>919.27</v>
      </c>
      <c r="W121">
        <v>1338.5</v>
      </c>
      <c r="X121">
        <v>1055.2</v>
      </c>
      <c r="Y121">
        <v>60952.08</v>
      </c>
      <c r="Z121" t="str">
        <v>#N/A N/A</v>
      </c>
      <c r="AA121" t="str">
        <v>#N/A N/A</v>
      </c>
      <c r="AB121" t="str">
        <v>#N/A N/A</v>
      </c>
      <c r="AC121">
        <v>8.1829999999999998</v>
      </c>
      <c r="AD121">
        <v>7.6996000000000002</v>
      </c>
      <c r="AE121">
        <v>7.1288999999999998</v>
      </c>
      <c r="AF121">
        <v>6.9</v>
      </c>
      <c r="AG121">
        <v>1.3192999999999999</v>
      </c>
      <c r="AH121">
        <v>86.75</v>
      </c>
      <c r="AI121">
        <v>1.6254999999999999</v>
      </c>
      <c r="AJ121">
        <v>0.99209999999999998</v>
      </c>
      <c r="AK121">
        <v>6.5031999999999996</v>
      </c>
      <c r="AL121">
        <v>0.91539999999999999</v>
      </c>
      <c r="AM121">
        <v>152.27000000000001</v>
      </c>
      <c r="AN121">
        <v>107.49</v>
      </c>
      <c r="AO121">
        <v>118.07</v>
      </c>
      <c r="AP121">
        <v>100.52</v>
      </c>
      <c r="AQ121">
        <v>97.35</v>
      </c>
    </row>
    <row r="122" spans="1:43" x14ac:dyDescent="0.25">
      <c r="A122" s="7">
        <v>41305</v>
      </c>
      <c r="B122">
        <v>7.0999999999999994E-2</v>
      </c>
      <c r="C122">
        <v>0.28699999999999998</v>
      </c>
      <c r="D122">
        <v>4.5999999999999999E-2</v>
      </c>
      <c r="E122">
        <v>9.8000000000000004E-2</v>
      </c>
      <c r="F122">
        <v>0.26179999999999998</v>
      </c>
      <c r="G122">
        <v>0.37359999999999999</v>
      </c>
      <c r="H122">
        <v>0.26600000000000001</v>
      </c>
      <c r="I122">
        <v>7.0000000000000007E-2</v>
      </c>
      <c r="J122">
        <v>1.9849000000000001</v>
      </c>
      <c r="K122">
        <v>2.0956000000000001</v>
      </c>
      <c r="L122">
        <v>1.679</v>
      </c>
      <c r="M122">
        <v>0.749</v>
      </c>
      <c r="N122">
        <v>14.28</v>
      </c>
      <c r="O122">
        <v>116.33799999999999</v>
      </c>
      <c r="P122">
        <v>79.206999999999994</v>
      </c>
      <c r="Q122">
        <v>94.877200000000002</v>
      </c>
      <c r="R122">
        <v>1.9916</v>
      </c>
      <c r="S122">
        <v>97.49</v>
      </c>
      <c r="T122">
        <v>115.55</v>
      </c>
      <c r="U122">
        <v>423.01</v>
      </c>
      <c r="V122">
        <v>942.63</v>
      </c>
      <c r="W122">
        <v>1405.47</v>
      </c>
      <c r="X122">
        <v>1069.01</v>
      </c>
      <c r="Y122">
        <v>59761.49</v>
      </c>
      <c r="Z122" t="str">
        <v>#N/A N/A</v>
      </c>
      <c r="AA122" t="str">
        <v>#N/A N/A</v>
      </c>
      <c r="AB122" t="str">
        <v>#N/A N/A</v>
      </c>
      <c r="AC122">
        <v>8.5167999999999999</v>
      </c>
      <c r="AD122">
        <v>7.9936999999999996</v>
      </c>
      <c r="AE122">
        <v>7.2554999999999996</v>
      </c>
      <c r="AF122">
        <v>6.95</v>
      </c>
      <c r="AG122">
        <v>1.3579000000000001</v>
      </c>
      <c r="AH122">
        <v>91.71</v>
      </c>
      <c r="AI122">
        <v>1.5857000000000001</v>
      </c>
      <c r="AJ122">
        <v>0.99719999999999998</v>
      </c>
      <c r="AK122">
        <v>6.3616999999999999</v>
      </c>
      <c r="AL122">
        <v>0.91</v>
      </c>
      <c r="AM122">
        <v>164.38</v>
      </c>
      <c r="AN122">
        <v>110.12</v>
      </c>
      <c r="AO122">
        <v>119.18</v>
      </c>
      <c r="AP122">
        <v>101.14</v>
      </c>
      <c r="AQ122">
        <v>97.21</v>
      </c>
    </row>
    <row r="123" spans="1:43" x14ac:dyDescent="0.25">
      <c r="A123" s="7">
        <v>41333</v>
      </c>
      <c r="B123">
        <v>0.1014</v>
      </c>
      <c r="C123">
        <v>6.9000000000000006E-2</v>
      </c>
      <c r="D123">
        <v>-3.4000000000000002E-2</v>
      </c>
      <c r="E123">
        <v>6.7000000000000004E-2</v>
      </c>
      <c r="F123">
        <v>0.23430000000000001</v>
      </c>
      <c r="G123">
        <v>0.23780000000000001</v>
      </c>
      <c r="H123">
        <v>3.6999999999999998E-2</v>
      </c>
      <c r="I123">
        <v>4.3999999999999997E-2</v>
      </c>
      <c r="J123">
        <v>1.8755999999999999</v>
      </c>
      <c r="K123">
        <v>1.9717</v>
      </c>
      <c r="L123">
        <v>1.4530000000000001</v>
      </c>
      <c r="M123">
        <v>0.65800000000000003</v>
      </c>
      <c r="N123">
        <v>15.51</v>
      </c>
      <c r="O123">
        <v>131.16300000000001</v>
      </c>
      <c r="P123">
        <v>81.948999999999998</v>
      </c>
      <c r="Q123">
        <v>95.058899999999994</v>
      </c>
      <c r="R123">
        <v>1.9775</v>
      </c>
      <c r="S123">
        <v>92.05</v>
      </c>
      <c r="T123">
        <v>111.38</v>
      </c>
      <c r="U123">
        <v>403.26</v>
      </c>
      <c r="V123">
        <v>913.11</v>
      </c>
      <c r="W123">
        <v>1405.18</v>
      </c>
      <c r="X123">
        <v>1054.6199999999999</v>
      </c>
      <c r="Y123">
        <v>57424.29</v>
      </c>
      <c r="Z123" t="str">
        <v>#N/A N/A</v>
      </c>
      <c r="AA123" t="str">
        <v>#N/A N/A</v>
      </c>
      <c r="AB123" t="str">
        <v>#N/A N/A</v>
      </c>
      <c r="AC123">
        <v>8.8388000000000009</v>
      </c>
      <c r="AD123">
        <v>8.3996999999999993</v>
      </c>
      <c r="AE123">
        <v>7.7245999999999997</v>
      </c>
      <c r="AF123">
        <v>6.98</v>
      </c>
      <c r="AG123">
        <v>1.3057000000000001</v>
      </c>
      <c r="AH123">
        <v>92.56</v>
      </c>
      <c r="AI123">
        <v>1.5163</v>
      </c>
      <c r="AJ123">
        <v>1.0306</v>
      </c>
      <c r="AK123">
        <v>6.4660000000000002</v>
      </c>
      <c r="AL123">
        <v>0.93669999999999998</v>
      </c>
      <c r="AM123">
        <v>166.01</v>
      </c>
      <c r="AN123">
        <v>102.62</v>
      </c>
      <c r="AO123">
        <v>115.74</v>
      </c>
      <c r="AP123">
        <v>100.24</v>
      </c>
      <c r="AQ123">
        <v>94.99</v>
      </c>
    </row>
    <row r="124" spans="1:43" x14ac:dyDescent="0.25">
      <c r="A124" s="7">
        <v>41362</v>
      </c>
      <c r="B124">
        <v>7.0999999999999994E-2</v>
      </c>
      <c r="C124">
        <v>0.35399999999999998</v>
      </c>
      <c r="D124">
        <v>-1.7000000000000001E-2</v>
      </c>
      <c r="E124">
        <v>4.2999999999999997E-2</v>
      </c>
      <c r="F124">
        <v>0.24210000000000001</v>
      </c>
      <c r="G124">
        <v>0.1993</v>
      </c>
      <c r="H124">
        <v>-2.5999999999999999E-2</v>
      </c>
      <c r="I124">
        <v>4.7E-2</v>
      </c>
      <c r="J124">
        <v>1.8486</v>
      </c>
      <c r="K124">
        <v>1.7666999999999999</v>
      </c>
      <c r="L124">
        <v>1.288</v>
      </c>
      <c r="M124">
        <v>0.54600000000000004</v>
      </c>
      <c r="N124">
        <v>12.7</v>
      </c>
      <c r="O124">
        <v>137.22</v>
      </c>
      <c r="P124">
        <v>82.975999999999999</v>
      </c>
      <c r="Q124">
        <v>94.778700000000001</v>
      </c>
      <c r="R124">
        <v>2.0219</v>
      </c>
      <c r="S124">
        <v>97.23</v>
      </c>
      <c r="T124">
        <v>110.02</v>
      </c>
      <c r="U124">
        <v>404.98</v>
      </c>
      <c r="V124">
        <v>898.08</v>
      </c>
      <c r="W124">
        <v>1434.51</v>
      </c>
      <c r="X124">
        <v>1034.9000000000001</v>
      </c>
      <c r="Y124">
        <v>56352.09</v>
      </c>
      <c r="Z124" t="str">
        <v>#N/A N/A</v>
      </c>
      <c r="AA124" t="str">
        <v>#N/A N/A</v>
      </c>
      <c r="AB124" t="str">
        <v>#N/A N/A</v>
      </c>
      <c r="AC124">
        <v>9.1713000000000005</v>
      </c>
      <c r="AD124">
        <v>8.6424000000000003</v>
      </c>
      <c r="AE124">
        <v>7.9339000000000004</v>
      </c>
      <c r="AF124">
        <v>7.01</v>
      </c>
      <c r="AG124">
        <v>1.2819</v>
      </c>
      <c r="AH124">
        <v>94.22</v>
      </c>
      <c r="AI124">
        <v>1.5198</v>
      </c>
      <c r="AJ124">
        <v>1.0174000000000001</v>
      </c>
      <c r="AK124">
        <v>6.5281000000000002</v>
      </c>
      <c r="AL124">
        <v>0.94920000000000004</v>
      </c>
      <c r="AM124">
        <v>187.79</v>
      </c>
      <c r="AN124">
        <v>113.85</v>
      </c>
      <c r="AO124">
        <v>118.09</v>
      </c>
      <c r="AP124">
        <v>101.17</v>
      </c>
      <c r="AQ124">
        <v>103.28</v>
      </c>
    </row>
    <row r="125" spans="1:43" x14ac:dyDescent="0.25">
      <c r="A125" s="7">
        <v>41394</v>
      </c>
      <c r="B125">
        <v>4.5600000000000002E-2</v>
      </c>
      <c r="C125">
        <v>0.34899999999999998</v>
      </c>
      <c r="D125">
        <v>-3.5000000000000003E-2</v>
      </c>
      <c r="E125">
        <v>9.0999999999999998E-2</v>
      </c>
      <c r="F125">
        <v>0.2074</v>
      </c>
      <c r="G125">
        <v>0.24099999999999999</v>
      </c>
      <c r="H125">
        <v>1.0999999999999999E-2</v>
      </c>
      <c r="I125">
        <v>0.123</v>
      </c>
      <c r="J125">
        <v>1.6717</v>
      </c>
      <c r="K125">
        <v>1.6883999999999999</v>
      </c>
      <c r="L125">
        <v>1.2150000000000001</v>
      </c>
      <c r="M125">
        <v>0.60399999999999998</v>
      </c>
      <c r="N125">
        <v>13.52</v>
      </c>
      <c r="O125">
        <v>109.01</v>
      </c>
      <c r="P125">
        <v>81.745999999999995</v>
      </c>
      <c r="Q125">
        <v>94.166700000000006</v>
      </c>
      <c r="R125">
        <v>2.0013999999999998</v>
      </c>
      <c r="S125">
        <v>93.46</v>
      </c>
      <c r="T125">
        <v>102.37</v>
      </c>
      <c r="U125">
        <v>413.64</v>
      </c>
      <c r="V125">
        <v>856.75</v>
      </c>
      <c r="W125">
        <v>1476.14</v>
      </c>
      <c r="X125">
        <v>1039.45</v>
      </c>
      <c r="Y125">
        <v>55910.37</v>
      </c>
      <c r="Z125" t="str">
        <v>#N/A N/A</v>
      </c>
      <c r="AA125" t="str">
        <v>#N/A N/A</v>
      </c>
      <c r="AB125" t="str">
        <v>#N/A N/A</v>
      </c>
      <c r="AC125">
        <v>8.6629000000000005</v>
      </c>
      <c r="AD125">
        <v>8.3818999999999999</v>
      </c>
      <c r="AE125">
        <v>8.0061999999999998</v>
      </c>
      <c r="AF125">
        <v>7.23</v>
      </c>
      <c r="AG125">
        <v>1.3168</v>
      </c>
      <c r="AH125">
        <v>97.45</v>
      </c>
      <c r="AI125">
        <v>1.5531999999999999</v>
      </c>
      <c r="AJ125">
        <v>1.0073000000000001</v>
      </c>
      <c r="AK125">
        <v>6.4832000000000001</v>
      </c>
      <c r="AL125">
        <v>0.92930000000000001</v>
      </c>
      <c r="AM125">
        <v>199.63</v>
      </c>
      <c r="AN125">
        <v>118.65</v>
      </c>
      <c r="AO125">
        <v>120.04</v>
      </c>
      <c r="AP125">
        <v>102.25</v>
      </c>
      <c r="AQ125">
        <v>104.52</v>
      </c>
    </row>
    <row r="126" spans="1:43" x14ac:dyDescent="0.25">
      <c r="A126" s="7">
        <v>41425</v>
      </c>
      <c r="B126">
        <v>2.53E-2</v>
      </c>
      <c r="C126">
        <v>0.32400000000000001</v>
      </c>
      <c r="D126">
        <v>-3.2000000000000001E-2</v>
      </c>
      <c r="E126">
        <v>7.4999999999999997E-2</v>
      </c>
      <c r="F126">
        <v>0.29330000000000001</v>
      </c>
      <c r="G126">
        <v>0.36940000000000001</v>
      </c>
      <c r="H126">
        <v>6.7000000000000004E-2</v>
      </c>
      <c r="I126">
        <v>0.14099999999999999</v>
      </c>
      <c r="J126">
        <v>2.1282000000000001</v>
      </c>
      <c r="K126">
        <v>2.0009000000000001</v>
      </c>
      <c r="L126">
        <v>1.504</v>
      </c>
      <c r="M126">
        <v>0.85199999999999998</v>
      </c>
      <c r="N126">
        <v>16.3</v>
      </c>
      <c r="O126">
        <v>146.98500000000001</v>
      </c>
      <c r="P126">
        <v>83.375</v>
      </c>
      <c r="Q126">
        <v>94.332700000000003</v>
      </c>
      <c r="R126">
        <v>2.1385999999999998</v>
      </c>
      <c r="S126">
        <v>91.97</v>
      </c>
      <c r="T126">
        <v>100.39</v>
      </c>
      <c r="U126">
        <v>407.4</v>
      </c>
      <c r="V126">
        <v>854.47</v>
      </c>
      <c r="W126">
        <v>1471.93</v>
      </c>
      <c r="X126">
        <v>1008.88</v>
      </c>
      <c r="Y126">
        <v>53506.080000000002</v>
      </c>
      <c r="Z126" t="str">
        <v>#N/A N/A</v>
      </c>
      <c r="AA126" t="str">
        <v>#N/A N/A</v>
      </c>
      <c r="AB126" t="str">
        <v>#N/A N/A</v>
      </c>
      <c r="AC126">
        <v>9.548</v>
      </c>
      <c r="AD126">
        <v>9.1432000000000002</v>
      </c>
      <c r="AE126">
        <v>8.6651000000000007</v>
      </c>
      <c r="AF126">
        <v>7.72</v>
      </c>
      <c r="AG126">
        <v>1.2999000000000001</v>
      </c>
      <c r="AH126">
        <v>100.45</v>
      </c>
      <c r="AI126">
        <v>1.5198</v>
      </c>
      <c r="AJ126">
        <v>1.0375000000000001</v>
      </c>
      <c r="AK126">
        <v>6.6201999999999996</v>
      </c>
      <c r="AL126">
        <v>0.95509999999999995</v>
      </c>
      <c r="AM126">
        <v>193.76</v>
      </c>
      <c r="AN126">
        <v>122.33</v>
      </c>
      <c r="AO126">
        <v>119.77</v>
      </c>
      <c r="AP126">
        <v>102.47</v>
      </c>
      <c r="AQ126">
        <v>102.59</v>
      </c>
    </row>
    <row r="127" spans="1:43" x14ac:dyDescent="0.25">
      <c r="A127" s="7">
        <v>41453</v>
      </c>
      <c r="B127">
        <v>3.04E-2</v>
      </c>
      <c r="C127">
        <v>0.33500000000000002</v>
      </c>
      <c r="D127">
        <v>0</v>
      </c>
      <c r="E127">
        <v>9.7000000000000003E-2</v>
      </c>
      <c r="F127">
        <v>0.35539999999999999</v>
      </c>
      <c r="G127">
        <v>0.38969999999999999</v>
      </c>
      <c r="H127">
        <v>0.187</v>
      </c>
      <c r="I127">
        <v>0.127</v>
      </c>
      <c r="J127">
        <v>2.4857</v>
      </c>
      <c r="K127">
        <v>2.4411999999999998</v>
      </c>
      <c r="L127">
        <v>1.728</v>
      </c>
      <c r="M127">
        <v>0.84799999999999998</v>
      </c>
      <c r="N127">
        <v>16.86</v>
      </c>
      <c r="O127">
        <v>184.995</v>
      </c>
      <c r="P127">
        <v>83.135999999999996</v>
      </c>
      <c r="Q127">
        <v>96.688599999999994</v>
      </c>
      <c r="R127">
        <v>2.2322000000000002</v>
      </c>
      <c r="S127">
        <v>96.56</v>
      </c>
      <c r="T127">
        <v>102.16</v>
      </c>
      <c r="U127">
        <v>403.4</v>
      </c>
      <c r="V127">
        <v>825.22</v>
      </c>
      <c r="W127">
        <v>1433.55</v>
      </c>
      <c r="X127">
        <v>940.33</v>
      </c>
      <c r="Y127">
        <v>47457.13</v>
      </c>
      <c r="Z127" t="str">
        <v>#N/A N/A</v>
      </c>
      <c r="AA127" t="str">
        <v>#N/A N/A</v>
      </c>
      <c r="AB127" t="str">
        <v>#N/A N/A</v>
      </c>
      <c r="AC127">
        <v>10.9373</v>
      </c>
      <c r="AD127">
        <v>10.243600000000001</v>
      </c>
      <c r="AE127">
        <v>9.3866999999999994</v>
      </c>
      <c r="AF127">
        <v>7.72</v>
      </c>
      <c r="AG127">
        <v>1.3009999999999999</v>
      </c>
      <c r="AH127">
        <v>99.14</v>
      </c>
      <c r="AI127">
        <v>1.5213000000000001</v>
      </c>
      <c r="AJ127">
        <v>1.0519000000000001</v>
      </c>
      <c r="AK127">
        <v>6.6999000000000004</v>
      </c>
      <c r="AL127">
        <v>0.94499999999999995</v>
      </c>
      <c r="AM127">
        <v>191.27</v>
      </c>
      <c r="AN127">
        <v>118.51</v>
      </c>
      <c r="AO127">
        <v>120.2</v>
      </c>
      <c r="AP127">
        <v>102.13</v>
      </c>
      <c r="AQ127">
        <v>101.09</v>
      </c>
    </row>
    <row r="128" spans="1:43" x14ac:dyDescent="0.25">
      <c r="A128" s="7">
        <v>41486</v>
      </c>
      <c r="B128">
        <v>3.5499999999999997E-2</v>
      </c>
      <c r="C128">
        <v>0.317</v>
      </c>
      <c r="D128">
        <v>-2.1999999999999999E-2</v>
      </c>
      <c r="E128">
        <v>8.5000000000000006E-2</v>
      </c>
      <c r="F128">
        <v>0.30890000000000001</v>
      </c>
      <c r="G128">
        <v>0.31340000000000001</v>
      </c>
      <c r="H128">
        <v>0.15</v>
      </c>
      <c r="I128">
        <v>0.112</v>
      </c>
      <c r="J128">
        <v>2.5762</v>
      </c>
      <c r="K128">
        <v>2.3565</v>
      </c>
      <c r="L128">
        <v>1.669</v>
      </c>
      <c r="M128">
        <v>0.79700000000000004</v>
      </c>
      <c r="N128">
        <v>13.45</v>
      </c>
      <c r="O128">
        <v>188.16800000000001</v>
      </c>
      <c r="P128">
        <v>81.451999999999998</v>
      </c>
      <c r="Q128">
        <v>96.663399999999996</v>
      </c>
      <c r="R128">
        <v>2.2765</v>
      </c>
      <c r="S128">
        <v>105.03</v>
      </c>
      <c r="T128">
        <v>107.7</v>
      </c>
      <c r="U128">
        <v>400.62</v>
      </c>
      <c r="V128">
        <v>838.35</v>
      </c>
      <c r="W128">
        <v>1507.91</v>
      </c>
      <c r="X128">
        <v>947.55</v>
      </c>
      <c r="Y128">
        <v>48234.49</v>
      </c>
      <c r="Z128" t="str">
        <v>#N/A N/A</v>
      </c>
      <c r="AA128" t="str">
        <v>#N/A N/A</v>
      </c>
      <c r="AB128" t="str">
        <v>#N/A N/A</v>
      </c>
      <c r="AC128">
        <v>10.551</v>
      </c>
      <c r="AD128">
        <v>10.0168</v>
      </c>
      <c r="AE128">
        <v>9.2645999999999997</v>
      </c>
      <c r="AF128">
        <v>8.2200000000000006</v>
      </c>
      <c r="AG128">
        <v>1.3302</v>
      </c>
      <c r="AH128">
        <v>97.88</v>
      </c>
      <c r="AI128">
        <v>1.5206999999999999</v>
      </c>
      <c r="AJ128">
        <v>1.0277000000000001</v>
      </c>
      <c r="AK128">
        <v>6.5157999999999996</v>
      </c>
      <c r="AL128">
        <v>0.92620000000000002</v>
      </c>
      <c r="AM128">
        <v>194.41</v>
      </c>
      <c r="AN128">
        <v>125.88</v>
      </c>
      <c r="AO128">
        <v>119.55</v>
      </c>
      <c r="AP128">
        <v>102.47</v>
      </c>
      <c r="AQ128">
        <v>106.15</v>
      </c>
    </row>
    <row r="129" spans="1:43" x14ac:dyDescent="0.25">
      <c r="A129" s="7">
        <v>41516</v>
      </c>
      <c r="B129">
        <v>2.0299999999999999E-2</v>
      </c>
      <c r="C129">
        <v>0.29699999999999999</v>
      </c>
      <c r="D129">
        <v>-1.2999999999999999E-2</v>
      </c>
      <c r="E129">
        <v>8.1000000000000003E-2</v>
      </c>
      <c r="F129">
        <v>0.3987</v>
      </c>
      <c r="G129">
        <v>0.4108</v>
      </c>
      <c r="H129">
        <v>0.23499999999999999</v>
      </c>
      <c r="I129">
        <v>0.10299999999999999</v>
      </c>
      <c r="J129">
        <v>2.7839</v>
      </c>
      <c r="K129">
        <v>2.7706</v>
      </c>
      <c r="L129">
        <v>1.855</v>
      </c>
      <c r="M129">
        <v>0.71499999999999997</v>
      </c>
      <c r="N129">
        <v>17.010000000000002</v>
      </c>
      <c r="O129">
        <v>206.85499999999999</v>
      </c>
      <c r="P129">
        <v>82.087000000000003</v>
      </c>
      <c r="Q129">
        <v>97.454999999999998</v>
      </c>
      <c r="R129">
        <v>2.3855</v>
      </c>
      <c r="S129">
        <v>107.65</v>
      </c>
      <c r="T129">
        <v>114.01</v>
      </c>
      <c r="U129">
        <v>409.99</v>
      </c>
      <c r="V129">
        <v>878.32</v>
      </c>
      <c r="W129">
        <v>1472.74</v>
      </c>
      <c r="X129">
        <v>929.54</v>
      </c>
      <c r="Y129">
        <v>50011.75</v>
      </c>
      <c r="Z129" t="str">
        <v>#N/A N/A</v>
      </c>
      <c r="AA129" t="str">
        <v>#N/A N/A</v>
      </c>
      <c r="AB129" t="str">
        <v>#N/A N/A</v>
      </c>
      <c r="AC129">
        <v>11.7621</v>
      </c>
      <c r="AD129">
        <v>11.1821</v>
      </c>
      <c r="AE129">
        <v>10.236700000000001</v>
      </c>
      <c r="AF129">
        <v>8.7200000000000006</v>
      </c>
      <c r="AG129">
        <v>1.3222</v>
      </c>
      <c r="AH129">
        <v>98.17</v>
      </c>
      <c r="AI129">
        <v>1.5504</v>
      </c>
      <c r="AJ129">
        <v>1.0537000000000001</v>
      </c>
      <c r="AK129">
        <v>6.6188000000000002</v>
      </c>
      <c r="AL129">
        <v>0.92979999999999996</v>
      </c>
      <c r="AM129">
        <v>202.37</v>
      </c>
      <c r="AN129">
        <v>130.57</v>
      </c>
      <c r="AO129">
        <v>119.86</v>
      </c>
      <c r="AP129">
        <v>102.78</v>
      </c>
      <c r="AQ129">
        <v>105.93</v>
      </c>
    </row>
    <row r="130" spans="1:43" x14ac:dyDescent="0.25">
      <c r="A130" s="7">
        <v>41547</v>
      </c>
      <c r="B130">
        <v>5.1000000000000004E-3</v>
      </c>
      <c r="C130">
        <v>0.32900000000000001</v>
      </c>
      <c r="D130">
        <v>-5.0000000000000001E-3</v>
      </c>
      <c r="E130">
        <v>2.8000000000000001E-2</v>
      </c>
      <c r="F130">
        <v>0.31680000000000003</v>
      </c>
      <c r="G130">
        <v>0.43730000000000002</v>
      </c>
      <c r="H130">
        <v>0.16600000000000001</v>
      </c>
      <c r="I130">
        <v>0.10299999999999999</v>
      </c>
      <c r="J130">
        <v>2.61</v>
      </c>
      <c r="K130">
        <v>2.7189999999999999</v>
      </c>
      <c r="L130">
        <v>1.778</v>
      </c>
      <c r="M130">
        <v>0.68100000000000005</v>
      </c>
      <c r="N130">
        <v>16.600000000000001</v>
      </c>
      <c r="O130">
        <v>176</v>
      </c>
      <c r="P130">
        <v>80.221000000000004</v>
      </c>
      <c r="Q130">
        <v>97.419700000000006</v>
      </c>
      <c r="R130">
        <v>2.2168999999999999</v>
      </c>
      <c r="S130">
        <v>102.33</v>
      </c>
      <c r="T130">
        <v>108.37</v>
      </c>
      <c r="U130">
        <v>401.98</v>
      </c>
      <c r="V130">
        <v>885.94</v>
      </c>
      <c r="W130">
        <v>1543.67</v>
      </c>
      <c r="X130">
        <v>987.46</v>
      </c>
      <c r="Y130">
        <v>52338.19</v>
      </c>
      <c r="Z130" t="str">
        <v>#N/A N/A</v>
      </c>
      <c r="AA130" t="str">
        <v>#N/A N/A</v>
      </c>
      <c r="AB130" t="str">
        <v>#N/A N/A</v>
      </c>
      <c r="AC130">
        <v>11.406599999999999</v>
      </c>
      <c r="AD130">
        <v>10.9274</v>
      </c>
      <c r="AE130">
        <v>10.0479</v>
      </c>
      <c r="AF130">
        <v>8.7100000000000009</v>
      </c>
      <c r="AG130">
        <v>1.3527</v>
      </c>
      <c r="AH130">
        <v>98.27</v>
      </c>
      <c r="AI130">
        <v>1.6186</v>
      </c>
      <c r="AJ130">
        <v>1.0308999999999999</v>
      </c>
      <c r="AK130">
        <v>6.4295</v>
      </c>
      <c r="AL130">
        <v>0.90490000000000004</v>
      </c>
      <c r="AM130">
        <v>200.97</v>
      </c>
      <c r="AN130">
        <v>125.03</v>
      </c>
      <c r="AO130">
        <v>120.43</v>
      </c>
      <c r="AP130">
        <v>103.21</v>
      </c>
      <c r="AQ130">
        <v>102.76</v>
      </c>
    </row>
    <row r="131" spans="1:43" x14ac:dyDescent="0.25">
      <c r="A131" s="7">
        <v>41578</v>
      </c>
      <c r="B131">
        <v>3.5499999999999997E-2</v>
      </c>
      <c r="C131">
        <v>0.307</v>
      </c>
      <c r="D131">
        <v>-8.0000000000000002E-3</v>
      </c>
      <c r="E131">
        <v>7.0000000000000007E-2</v>
      </c>
      <c r="F131">
        <v>0.30499999999999999</v>
      </c>
      <c r="G131">
        <v>0.41860000000000003</v>
      </c>
      <c r="H131">
        <v>0.113</v>
      </c>
      <c r="I131">
        <v>9.2999999999999999E-2</v>
      </c>
      <c r="J131">
        <v>2.5541999999999998</v>
      </c>
      <c r="K131">
        <v>2.6156000000000001</v>
      </c>
      <c r="L131">
        <v>1.673</v>
      </c>
      <c r="M131">
        <v>0.59</v>
      </c>
      <c r="N131">
        <v>13.75</v>
      </c>
      <c r="O131">
        <v>167.15</v>
      </c>
      <c r="P131">
        <v>80.194999999999993</v>
      </c>
      <c r="Q131">
        <v>96.579099999999997</v>
      </c>
      <c r="R131">
        <v>2.2399</v>
      </c>
      <c r="S131">
        <v>96.38</v>
      </c>
      <c r="T131">
        <v>108.84</v>
      </c>
      <c r="U131">
        <v>383.94</v>
      </c>
      <c r="V131">
        <v>890.02</v>
      </c>
      <c r="W131">
        <v>1602.86</v>
      </c>
      <c r="X131">
        <v>1034.42</v>
      </c>
      <c r="Y131">
        <v>54256.2</v>
      </c>
      <c r="Z131" t="str">
        <v>#N/A N/A</v>
      </c>
      <c r="AA131" t="str">
        <v>#N/A N/A</v>
      </c>
      <c r="AB131" t="str">
        <v>#N/A N/A</v>
      </c>
      <c r="AC131">
        <v>11.5329</v>
      </c>
      <c r="AD131">
        <v>11.145200000000001</v>
      </c>
      <c r="AE131">
        <v>10.5174</v>
      </c>
      <c r="AF131">
        <v>9.32</v>
      </c>
      <c r="AG131">
        <v>1.3584000000000001</v>
      </c>
      <c r="AH131">
        <v>98.36</v>
      </c>
      <c r="AI131">
        <v>1.6040000000000001</v>
      </c>
      <c r="AJ131">
        <v>1.0430999999999999</v>
      </c>
      <c r="AK131">
        <v>6.4824000000000002</v>
      </c>
      <c r="AL131">
        <v>0.90690000000000004</v>
      </c>
      <c r="AM131">
        <v>212.57</v>
      </c>
      <c r="AN131">
        <v>131.19</v>
      </c>
      <c r="AO131">
        <v>119.11</v>
      </c>
      <c r="AP131">
        <v>103.22</v>
      </c>
      <c r="AQ131">
        <v>105.99</v>
      </c>
    </row>
    <row r="132" spans="1:43" x14ac:dyDescent="0.25">
      <c r="A132" s="7">
        <v>41607</v>
      </c>
      <c r="B132">
        <v>5.5800000000000002E-2</v>
      </c>
      <c r="C132">
        <v>0.28299999999999997</v>
      </c>
      <c r="D132">
        <v>2.5000000000000001E-2</v>
      </c>
      <c r="E132">
        <v>4.4999999999999998E-2</v>
      </c>
      <c r="F132">
        <v>0.28139999999999998</v>
      </c>
      <c r="G132">
        <v>0.45369999999999999</v>
      </c>
      <c r="H132">
        <v>0.114</v>
      </c>
      <c r="I132">
        <v>8.4000000000000005E-2</v>
      </c>
      <c r="J132">
        <v>2.7444999999999999</v>
      </c>
      <c r="K132">
        <v>2.7677999999999998</v>
      </c>
      <c r="L132">
        <v>1.6919999999999999</v>
      </c>
      <c r="M132">
        <v>0.6</v>
      </c>
      <c r="N132">
        <v>13.7</v>
      </c>
      <c r="O132">
        <v>205</v>
      </c>
      <c r="P132">
        <v>80.680000000000007</v>
      </c>
      <c r="Q132">
        <v>97.188699999999997</v>
      </c>
      <c r="R132">
        <v>2.3361000000000001</v>
      </c>
      <c r="S132">
        <v>92.72</v>
      </c>
      <c r="T132">
        <v>109.69</v>
      </c>
      <c r="U132">
        <v>386.49</v>
      </c>
      <c r="V132">
        <v>894.21</v>
      </c>
      <c r="W132">
        <v>1628.42</v>
      </c>
      <c r="X132">
        <v>1018.28</v>
      </c>
      <c r="Y132">
        <v>52482.49</v>
      </c>
      <c r="Z132" t="str">
        <v>#N/A N/A</v>
      </c>
      <c r="AA132" t="str">
        <v>#N/A N/A</v>
      </c>
      <c r="AB132" t="str">
        <v>#N/A N/A</v>
      </c>
      <c r="AC132">
        <v>12.2666</v>
      </c>
      <c r="AD132">
        <v>11.7255</v>
      </c>
      <c r="AE132">
        <v>10.6126</v>
      </c>
      <c r="AF132">
        <v>9.77</v>
      </c>
      <c r="AG132">
        <v>1.3591</v>
      </c>
      <c r="AH132">
        <v>102.44</v>
      </c>
      <c r="AI132">
        <v>1.6368</v>
      </c>
      <c r="AJ132">
        <v>1.0613999999999999</v>
      </c>
      <c r="AK132">
        <v>6.5479000000000003</v>
      </c>
      <c r="AL132">
        <v>0.90620000000000001</v>
      </c>
      <c r="AM132">
        <v>192.05</v>
      </c>
      <c r="AN132">
        <v>123.69</v>
      </c>
      <c r="AO132">
        <v>119.75</v>
      </c>
      <c r="AP132">
        <v>103.53</v>
      </c>
      <c r="AQ132">
        <v>103.12</v>
      </c>
    </row>
    <row r="133" spans="1:43" x14ac:dyDescent="0.25">
      <c r="A133" s="7">
        <v>41639</v>
      </c>
      <c r="B133">
        <v>6.59E-2</v>
      </c>
      <c r="C133">
        <v>0.28499999999999998</v>
      </c>
      <c r="D133">
        <v>8.5000000000000006E-2</v>
      </c>
      <c r="E133">
        <v>0.05</v>
      </c>
      <c r="F133">
        <v>0.37990000000000002</v>
      </c>
      <c r="G133">
        <v>0.55989999999999995</v>
      </c>
      <c r="H133">
        <v>0.20699999999999999</v>
      </c>
      <c r="I133">
        <v>8.8999999999999996E-2</v>
      </c>
      <c r="J133">
        <v>3.0282</v>
      </c>
      <c r="K133">
        <v>3.0207999999999999</v>
      </c>
      <c r="L133">
        <v>1.925</v>
      </c>
      <c r="M133">
        <v>0.73599999999999999</v>
      </c>
      <c r="N133">
        <v>13.72</v>
      </c>
      <c r="O133">
        <v>193.77099999999999</v>
      </c>
      <c r="P133">
        <v>80.034999999999997</v>
      </c>
      <c r="Q133">
        <v>97.328400000000002</v>
      </c>
      <c r="R133">
        <v>2.3592</v>
      </c>
      <c r="S133">
        <v>98.42</v>
      </c>
      <c r="T133">
        <v>110.8</v>
      </c>
      <c r="U133">
        <v>364.65</v>
      </c>
      <c r="V133">
        <v>936.83</v>
      </c>
      <c r="W133">
        <v>1661.07</v>
      </c>
      <c r="X133">
        <v>1002.69</v>
      </c>
      <c r="Y133">
        <v>51507.16</v>
      </c>
      <c r="Z133" t="str">
        <v>#N/A N/A</v>
      </c>
      <c r="AA133" t="str">
        <v>#N/A N/A</v>
      </c>
      <c r="AB133" t="str">
        <v>#N/A N/A</v>
      </c>
      <c r="AC133">
        <v>12.2903</v>
      </c>
      <c r="AD133">
        <v>11.6372</v>
      </c>
      <c r="AE133">
        <v>10.5755</v>
      </c>
      <c r="AF133">
        <v>9.77</v>
      </c>
      <c r="AG133">
        <v>1.3743000000000001</v>
      </c>
      <c r="AH133">
        <v>105.31</v>
      </c>
      <c r="AI133">
        <v>1.6556999999999999</v>
      </c>
      <c r="AJ133">
        <v>1.0623</v>
      </c>
      <c r="AK133">
        <v>6.4379999999999997</v>
      </c>
      <c r="AL133">
        <v>0.89290000000000003</v>
      </c>
      <c r="AM133">
        <v>154.57</v>
      </c>
      <c r="AN133">
        <v>104.98</v>
      </c>
      <c r="AO133">
        <v>115.54</v>
      </c>
      <c r="AP133">
        <v>103.77</v>
      </c>
      <c r="AQ133">
        <v>101.71</v>
      </c>
    </row>
    <row r="134" spans="1:43" x14ac:dyDescent="0.25">
      <c r="A134" s="7">
        <v>41670</v>
      </c>
      <c r="B134">
        <v>2.0299999999999999E-2</v>
      </c>
      <c r="C134">
        <v>0.33300000000000002</v>
      </c>
      <c r="D134">
        <v>3.5000000000000003E-2</v>
      </c>
      <c r="E134">
        <v>4.3999999999999997E-2</v>
      </c>
      <c r="F134">
        <v>0.32769999999999999</v>
      </c>
      <c r="G134">
        <v>0.48949999999999999</v>
      </c>
      <c r="H134">
        <v>6.6000000000000003E-2</v>
      </c>
      <c r="I134">
        <v>8.3000000000000004E-2</v>
      </c>
      <c r="J134">
        <v>2.6440000000000001</v>
      </c>
      <c r="K134">
        <v>2.7054</v>
      </c>
      <c r="L134">
        <v>1.6579999999999999</v>
      </c>
      <c r="M134">
        <v>0.61699999999999999</v>
      </c>
      <c r="N134">
        <v>18.41</v>
      </c>
      <c r="O134">
        <v>205.68100000000001</v>
      </c>
      <c r="P134">
        <v>81.311000000000007</v>
      </c>
      <c r="Q134">
        <v>98.131500000000003</v>
      </c>
      <c r="R134">
        <v>2.4127999999999998</v>
      </c>
      <c r="S134">
        <v>97.49</v>
      </c>
      <c r="T134">
        <v>106.4</v>
      </c>
      <c r="U134">
        <v>376.7</v>
      </c>
      <c r="V134">
        <v>914.47</v>
      </c>
      <c r="W134">
        <v>1598.46</v>
      </c>
      <c r="X134">
        <v>936.53</v>
      </c>
      <c r="Y134">
        <v>47638.99</v>
      </c>
      <c r="Z134" t="str">
        <v>#N/A N/A</v>
      </c>
      <c r="AA134" t="str">
        <v>#N/A N/A</v>
      </c>
      <c r="AB134" t="str">
        <v>#N/A N/A</v>
      </c>
      <c r="AC134">
        <v>12.8832</v>
      </c>
      <c r="AD134">
        <v>12.555099999999999</v>
      </c>
      <c r="AE134">
        <v>11.7098</v>
      </c>
      <c r="AF134">
        <v>10.27</v>
      </c>
      <c r="AG134">
        <v>1.3486</v>
      </c>
      <c r="AH134">
        <v>102.04</v>
      </c>
      <c r="AI134">
        <v>1.6438999999999999</v>
      </c>
      <c r="AJ134">
        <v>1.1128</v>
      </c>
      <c r="AK134">
        <v>6.5507</v>
      </c>
      <c r="AL134">
        <v>0.90649999999999997</v>
      </c>
      <c r="AM134">
        <v>168.46</v>
      </c>
      <c r="AN134">
        <v>107.91</v>
      </c>
      <c r="AO134">
        <v>117.56</v>
      </c>
      <c r="AP134">
        <v>103.43</v>
      </c>
      <c r="AQ134">
        <v>99.58</v>
      </c>
    </row>
    <row r="135" spans="1:43" x14ac:dyDescent="0.25">
      <c r="A135" s="7">
        <v>41698</v>
      </c>
      <c r="B135">
        <v>4.5600000000000002E-2</v>
      </c>
      <c r="C135">
        <v>0.34399999999999997</v>
      </c>
      <c r="D135">
        <v>6.6000000000000003E-2</v>
      </c>
      <c r="E135">
        <v>0.04</v>
      </c>
      <c r="F135">
        <v>0.31690000000000002</v>
      </c>
      <c r="G135">
        <v>0.48880000000000001</v>
      </c>
      <c r="H135">
        <v>0.127</v>
      </c>
      <c r="I135">
        <v>6.9000000000000006E-2</v>
      </c>
      <c r="J135">
        <v>2.6476000000000002</v>
      </c>
      <c r="K135">
        <v>2.7181000000000002</v>
      </c>
      <c r="L135">
        <v>1.623</v>
      </c>
      <c r="M135">
        <v>0.58099999999999996</v>
      </c>
      <c r="N135">
        <v>14</v>
      </c>
      <c r="O135">
        <v>171.33500000000001</v>
      </c>
      <c r="P135">
        <v>79.691000000000003</v>
      </c>
      <c r="Q135">
        <v>98.661000000000001</v>
      </c>
      <c r="R135">
        <v>2.3435000000000001</v>
      </c>
      <c r="S135">
        <v>102.59</v>
      </c>
      <c r="T135">
        <v>109.07</v>
      </c>
      <c r="U135">
        <v>409.29</v>
      </c>
      <c r="V135">
        <v>924.61</v>
      </c>
      <c r="W135">
        <v>1675.4</v>
      </c>
      <c r="X135">
        <v>966.42</v>
      </c>
      <c r="Y135">
        <v>47094.400000000001</v>
      </c>
      <c r="Z135">
        <v>12.638299999999999</v>
      </c>
      <c r="AA135">
        <v>12.5611</v>
      </c>
      <c r="AB135">
        <v>12.9224</v>
      </c>
      <c r="AC135">
        <v>12.291499999999999</v>
      </c>
      <c r="AD135">
        <v>12.004099999999999</v>
      </c>
      <c r="AE135">
        <v>11.24</v>
      </c>
      <c r="AF135">
        <v>10.59</v>
      </c>
      <c r="AG135">
        <v>1.3802000000000001</v>
      </c>
      <c r="AH135">
        <v>101.8</v>
      </c>
      <c r="AI135">
        <v>1.6745000000000001</v>
      </c>
      <c r="AJ135">
        <v>1.1064000000000001</v>
      </c>
      <c r="AK135">
        <v>6.4088000000000003</v>
      </c>
      <c r="AL135">
        <v>0.88029999999999997</v>
      </c>
      <c r="AM135">
        <v>186.63</v>
      </c>
      <c r="AN135">
        <v>107.55</v>
      </c>
      <c r="AO135">
        <v>118.03</v>
      </c>
      <c r="AP135">
        <v>103.23</v>
      </c>
      <c r="AQ135">
        <v>100.15</v>
      </c>
    </row>
    <row r="136" spans="1:43" x14ac:dyDescent="0.25">
      <c r="A136" s="7">
        <v>41729</v>
      </c>
      <c r="B136">
        <v>3.04E-2</v>
      </c>
      <c r="C136">
        <v>0.36499999999999999</v>
      </c>
      <c r="D136">
        <v>4.7E-2</v>
      </c>
      <c r="E136">
        <v>2.5999999999999999E-2</v>
      </c>
      <c r="F136">
        <v>0.41830000000000001</v>
      </c>
      <c r="G136">
        <v>0.70709999999999995</v>
      </c>
      <c r="H136">
        <v>0.158</v>
      </c>
      <c r="I136">
        <v>8.5999999999999993E-2</v>
      </c>
      <c r="J136">
        <v>2.718</v>
      </c>
      <c r="K136">
        <v>2.7347999999999999</v>
      </c>
      <c r="L136">
        <v>1.5649999999999999</v>
      </c>
      <c r="M136">
        <v>0.63700000000000001</v>
      </c>
      <c r="N136">
        <v>13.88</v>
      </c>
      <c r="O136">
        <v>169.66</v>
      </c>
      <c r="P136">
        <v>80.099999999999994</v>
      </c>
      <c r="Q136">
        <v>98.639600000000002</v>
      </c>
      <c r="R136">
        <v>2.2719999999999998</v>
      </c>
      <c r="S136">
        <v>101.58</v>
      </c>
      <c r="T136">
        <v>107.76</v>
      </c>
      <c r="U136">
        <v>434.2</v>
      </c>
      <c r="V136">
        <v>894.65</v>
      </c>
      <c r="W136">
        <v>1673.87</v>
      </c>
      <c r="X136">
        <v>994.65</v>
      </c>
      <c r="Y136">
        <v>50414.92</v>
      </c>
      <c r="Z136">
        <v>12.7453</v>
      </c>
      <c r="AA136">
        <v>12.735200000000001</v>
      </c>
      <c r="AB136">
        <v>13.021699999999999</v>
      </c>
      <c r="AC136">
        <v>12.4994</v>
      </c>
      <c r="AD136">
        <v>12.23</v>
      </c>
      <c r="AE136">
        <v>11.392899999999999</v>
      </c>
      <c r="AF136">
        <v>10.55</v>
      </c>
      <c r="AG136">
        <v>1.3769</v>
      </c>
      <c r="AH136">
        <v>103.23</v>
      </c>
      <c r="AI136">
        <v>1.6661999999999999</v>
      </c>
      <c r="AJ136">
        <v>1.105</v>
      </c>
      <c r="AK136">
        <v>6.4726999999999997</v>
      </c>
      <c r="AL136">
        <v>0.88460000000000005</v>
      </c>
      <c r="AM136">
        <v>186.63</v>
      </c>
      <c r="AN136">
        <v>113.37</v>
      </c>
      <c r="AO136">
        <v>117.53</v>
      </c>
      <c r="AP136">
        <v>103.06</v>
      </c>
      <c r="AQ136">
        <v>103.99</v>
      </c>
    </row>
    <row r="137" spans="1:43" x14ac:dyDescent="0.25">
      <c r="A137" s="7">
        <v>41759</v>
      </c>
      <c r="B137">
        <v>2.53E-2</v>
      </c>
      <c r="C137">
        <v>0.33600000000000002</v>
      </c>
      <c r="D137">
        <v>-4.2999999999999997E-2</v>
      </c>
      <c r="E137">
        <v>4.4999999999999998E-2</v>
      </c>
      <c r="F137">
        <v>0.41039999999999999</v>
      </c>
      <c r="G137">
        <v>0.68369999999999997</v>
      </c>
      <c r="H137">
        <v>0.14000000000000001</v>
      </c>
      <c r="I137">
        <v>8.6999999999999994E-2</v>
      </c>
      <c r="J137">
        <v>2.6459000000000001</v>
      </c>
      <c r="K137">
        <v>2.6619999999999999</v>
      </c>
      <c r="L137">
        <v>1.468</v>
      </c>
      <c r="M137">
        <v>0.622</v>
      </c>
      <c r="N137">
        <v>13.41</v>
      </c>
      <c r="O137">
        <v>146.67500000000001</v>
      </c>
      <c r="P137">
        <v>79.474000000000004</v>
      </c>
      <c r="Q137">
        <v>98.103999999999999</v>
      </c>
      <c r="R137">
        <v>2.2326999999999999</v>
      </c>
      <c r="S137">
        <v>99.74</v>
      </c>
      <c r="T137">
        <v>108.07</v>
      </c>
      <c r="U137">
        <v>445.88</v>
      </c>
      <c r="V137">
        <v>906.7</v>
      </c>
      <c r="W137">
        <v>1687.74</v>
      </c>
      <c r="X137">
        <v>995.28</v>
      </c>
      <c r="Y137">
        <v>51626.69</v>
      </c>
      <c r="Z137">
        <v>12.4781</v>
      </c>
      <c r="AA137">
        <v>12.529199999999999</v>
      </c>
      <c r="AB137">
        <v>12.828799999999999</v>
      </c>
      <c r="AC137">
        <v>12.3299</v>
      </c>
      <c r="AD137">
        <v>12.110900000000001</v>
      </c>
      <c r="AE137">
        <v>11.332800000000001</v>
      </c>
      <c r="AF137">
        <v>10.8</v>
      </c>
      <c r="AG137">
        <v>1.3867</v>
      </c>
      <c r="AH137">
        <v>102.24</v>
      </c>
      <c r="AI137">
        <v>1.6873</v>
      </c>
      <c r="AJ137">
        <v>1.0962000000000001</v>
      </c>
      <c r="AK137">
        <v>6.5023</v>
      </c>
      <c r="AL137">
        <v>0.88039999999999996</v>
      </c>
      <c r="AM137">
        <v>186.63</v>
      </c>
      <c r="AN137">
        <v>111.9</v>
      </c>
      <c r="AO137">
        <v>116.62</v>
      </c>
      <c r="AP137">
        <v>102.65</v>
      </c>
      <c r="AQ137">
        <v>103.05</v>
      </c>
    </row>
    <row r="138" spans="1:43" x14ac:dyDescent="0.25">
      <c r="A138" s="7">
        <v>41789</v>
      </c>
      <c r="B138">
        <v>3.04E-2</v>
      </c>
      <c r="C138">
        <v>0.32600000000000001</v>
      </c>
      <c r="D138">
        <v>-4.0000000000000001E-3</v>
      </c>
      <c r="E138">
        <v>3.5000000000000003E-2</v>
      </c>
      <c r="F138">
        <v>0.373</v>
      </c>
      <c r="G138">
        <v>0.66259999999999997</v>
      </c>
      <c r="H138">
        <v>6.0999999999999999E-2</v>
      </c>
      <c r="I138">
        <v>8.5000000000000006E-2</v>
      </c>
      <c r="J138">
        <v>2.4759000000000002</v>
      </c>
      <c r="K138">
        <v>2.5693999999999999</v>
      </c>
      <c r="L138">
        <v>1.357</v>
      </c>
      <c r="M138">
        <v>0.57299999999999995</v>
      </c>
      <c r="N138">
        <v>11.4</v>
      </c>
      <c r="O138">
        <v>142.32499999999999</v>
      </c>
      <c r="P138">
        <v>80.369</v>
      </c>
      <c r="Q138">
        <v>97.616200000000006</v>
      </c>
      <c r="R138">
        <v>2.2412999999999998</v>
      </c>
      <c r="S138">
        <v>102.71</v>
      </c>
      <c r="T138">
        <v>109.41</v>
      </c>
      <c r="U138">
        <v>441.38</v>
      </c>
      <c r="V138">
        <v>906.39</v>
      </c>
      <c r="W138">
        <v>1715.18</v>
      </c>
      <c r="X138">
        <v>1027.69</v>
      </c>
      <c r="Y138">
        <v>51239.34</v>
      </c>
      <c r="Z138">
        <v>11.9399</v>
      </c>
      <c r="AA138">
        <v>11.954599999999999</v>
      </c>
      <c r="AB138">
        <v>12.264900000000001</v>
      </c>
      <c r="AC138">
        <v>11.6967</v>
      </c>
      <c r="AD138">
        <v>11.5207</v>
      </c>
      <c r="AE138">
        <v>11.094799999999999</v>
      </c>
      <c r="AF138">
        <v>10.8</v>
      </c>
      <c r="AG138">
        <v>1.3634999999999999</v>
      </c>
      <c r="AH138">
        <v>101.77</v>
      </c>
      <c r="AI138">
        <v>1.6755</v>
      </c>
      <c r="AJ138">
        <v>1.0846</v>
      </c>
      <c r="AK138">
        <v>6.6885000000000003</v>
      </c>
      <c r="AL138">
        <v>0.8952</v>
      </c>
      <c r="AM138">
        <v>186.63</v>
      </c>
      <c r="AN138">
        <v>118.53</v>
      </c>
      <c r="AO138">
        <v>115.46</v>
      </c>
      <c r="AP138">
        <v>102.26</v>
      </c>
      <c r="AQ138">
        <v>102.67</v>
      </c>
    </row>
    <row r="139" spans="1:43" x14ac:dyDescent="0.25">
      <c r="A139" s="7">
        <v>41820</v>
      </c>
      <c r="B139">
        <v>2.0299999999999999E-2</v>
      </c>
      <c r="C139">
        <v>0.379</v>
      </c>
      <c r="D139">
        <v>-3.1E-2</v>
      </c>
      <c r="E139">
        <v>2.5000000000000001E-2</v>
      </c>
      <c r="F139">
        <v>0.45669999999999999</v>
      </c>
      <c r="G139">
        <v>0.86339999999999995</v>
      </c>
      <c r="H139">
        <v>2.5000000000000001E-2</v>
      </c>
      <c r="I139">
        <v>6.8000000000000005E-2</v>
      </c>
      <c r="J139">
        <v>2.5304000000000002</v>
      </c>
      <c r="K139">
        <v>2.669</v>
      </c>
      <c r="L139">
        <v>1.244</v>
      </c>
      <c r="M139">
        <v>0.56100000000000005</v>
      </c>
      <c r="N139">
        <v>11.57</v>
      </c>
      <c r="O139">
        <v>144.15</v>
      </c>
      <c r="P139">
        <v>79.775000000000006</v>
      </c>
      <c r="Q139">
        <v>97.707899999999995</v>
      </c>
      <c r="R139">
        <v>2.2145000000000001</v>
      </c>
      <c r="S139">
        <v>105.37</v>
      </c>
      <c r="T139">
        <v>112.36</v>
      </c>
      <c r="U139">
        <v>451.63</v>
      </c>
      <c r="V139">
        <v>897.6</v>
      </c>
      <c r="W139">
        <v>1743.42</v>
      </c>
      <c r="X139">
        <v>1050.78</v>
      </c>
      <c r="Y139">
        <v>53168.22</v>
      </c>
      <c r="Z139">
        <v>12.0213</v>
      </c>
      <c r="AA139">
        <v>11.9078</v>
      </c>
      <c r="AB139">
        <v>12.2318</v>
      </c>
      <c r="AC139">
        <v>11.6791</v>
      </c>
      <c r="AD139">
        <v>11.4072</v>
      </c>
      <c r="AE139">
        <v>10.907500000000001</v>
      </c>
      <c r="AF139">
        <v>10.8</v>
      </c>
      <c r="AG139">
        <v>1.3692</v>
      </c>
      <c r="AH139">
        <v>101.33</v>
      </c>
      <c r="AI139">
        <v>1.7105999999999999</v>
      </c>
      <c r="AJ139">
        <v>1.0670999999999999</v>
      </c>
      <c r="AK139">
        <v>6.6833999999999998</v>
      </c>
      <c r="AL139">
        <v>0.88680000000000003</v>
      </c>
      <c r="AM139">
        <v>186.63</v>
      </c>
      <c r="AN139">
        <v>110.61</v>
      </c>
      <c r="AO139">
        <v>112.16</v>
      </c>
      <c r="AP139">
        <v>100.12</v>
      </c>
      <c r="AQ139">
        <v>98.3</v>
      </c>
    </row>
    <row r="140" spans="1:43" x14ac:dyDescent="0.25">
      <c r="A140" s="7">
        <v>41851</v>
      </c>
      <c r="B140">
        <v>2.0299999999999999E-2</v>
      </c>
      <c r="C140">
        <v>0.39400000000000002</v>
      </c>
      <c r="D140">
        <v>-1.4999999999999999E-2</v>
      </c>
      <c r="E140">
        <v>2.5999999999999999E-2</v>
      </c>
      <c r="F140">
        <v>0.52759999999999996</v>
      </c>
      <c r="G140">
        <v>0.83450000000000002</v>
      </c>
      <c r="H140">
        <v>2.1999999999999999E-2</v>
      </c>
      <c r="I140">
        <v>6.2E-2</v>
      </c>
      <c r="J140">
        <v>2.5577999999999999</v>
      </c>
      <c r="K140">
        <v>2.6008</v>
      </c>
      <c r="L140">
        <v>1.1539999999999999</v>
      </c>
      <c r="M140">
        <v>0.53300000000000003</v>
      </c>
      <c r="N140">
        <v>16.95</v>
      </c>
      <c r="O140">
        <v>155.97999999999999</v>
      </c>
      <c r="P140">
        <v>81.456000000000003</v>
      </c>
      <c r="Q140">
        <v>97.442999999999998</v>
      </c>
      <c r="R140">
        <v>2.2637999999999998</v>
      </c>
      <c r="S140">
        <v>98.17</v>
      </c>
      <c r="T140">
        <v>106.02</v>
      </c>
      <c r="U140">
        <v>432.06</v>
      </c>
      <c r="V140">
        <v>933.7</v>
      </c>
      <c r="W140">
        <v>1714.35</v>
      </c>
      <c r="X140">
        <v>1065.77</v>
      </c>
      <c r="Y140">
        <v>55829.41</v>
      </c>
      <c r="Z140">
        <v>11.8043</v>
      </c>
      <c r="AA140">
        <v>11.7887</v>
      </c>
      <c r="AB140">
        <v>11.988</v>
      </c>
      <c r="AC140">
        <v>11.6145</v>
      </c>
      <c r="AD140">
        <v>11.375</v>
      </c>
      <c r="AE140">
        <v>10.965400000000001</v>
      </c>
      <c r="AF140">
        <v>10.8</v>
      </c>
      <c r="AG140">
        <v>1.339</v>
      </c>
      <c r="AH140">
        <v>102.8</v>
      </c>
      <c r="AI140">
        <v>1.6886000000000001</v>
      </c>
      <c r="AJ140">
        <v>1.0906</v>
      </c>
      <c r="AK140">
        <v>6.8975999999999997</v>
      </c>
      <c r="AL140">
        <v>0.90880000000000005</v>
      </c>
      <c r="AM140">
        <v>186.63</v>
      </c>
      <c r="AN140">
        <v>121.7</v>
      </c>
      <c r="AO140">
        <v>114.97</v>
      </c>
      <c r="AP140">
        <v>100.86</v>
      </c>
      <c r="AQ140">
        <v>104.56</v>
      </c>
    </row>
    <row r="141" spans="1:43" x14ac:dyDescent="0.25">
      <c r="A141" s="7">
        <v>41880</v>
      </c>
      <c r="B141">
        <v>2.0299999999999999E-2</v>
      </c>
      <c r="C141">
        <v>0.41099999999999998</v>
      </c>
      <c r="D141">
        <v>-5.2999999999999999E-2</v>
      </c>
      <c r="E141">
        <v>3.1E-2</v>
      </c>
      <c r="F141">
        <v>0.48820000000000002</v>
      </c>
      <c r="G141">
        <v>0.83389999999999997</v>
      </c>
      <c r="H141">
        <v>-3.3000000000000002E-2</v>
      </c>
      <c r="I141">
        <v>7.0000000000000007E-2</v>
      </c>
      <c r="J141">
        <v>2.3431000000000002</v>
      </c>
      <c r="K141">
        <v>2.3673000000000002</v>
      </c>
      <c r="L141">
        <v>0.89</v>
      </c>
      <c r="M141">
        <v>0.49099999999999999</v>
      </c>
      <c r="N141">
        <v>11.98</v>
      </c>
      <c r="O141">
        <v>127</v>
      </c>
      <c r="P141">
        <v>82.748000000000005</v>
      </c>
      <c r="Q141">
        <v>97.904200000000003</v>
      </c>
      <c r="R141">
        <v>2.2362000000000002</v>
      </c>
      <c r="S141">
        <v>95.96</v>
      </c>
      <c r="T141">
        <v>103.19</v>
      </c>
      <c r="U141">
        <v>423.9</v>
      </c>
      <c r="V141">
        <v>922.1</v>
      </c>
      <c r="W141">
        <v>1748.69</v>
      </c>
      <c r="X141">
        <v>1087.8800000000001</v>
      </c>
      <c r="Y141">
        <v>61288.15</v>
      </c>
      <c r="Z141">
        <v>11.077500000000001</v>
      </c>
      <c r="AA141">
        <v>11.192500000000001</v>
      </c>
      <c r="AB141">
        <v>11.1579</v>
      </c>
      <c r="AC141">
        <v>11.245200000000001</v>
      </c>
      <c r="AD141">
        <v>11.24</v>
      </c>
      <c r="AE141">
        <v>11.0945</v>
      </c>
      <c r="AF141">
        <v>10.81</v>
      </c>
      <c r="AG141">
        <v>1.3131999999999999</v>
      </c>
      <c r="AH141">
        <v>104.09</v>
      </c>
      <c r="AI141">
        <v>1.6597999999999999</v>
      </c>
      <c r="AJ141">
        <v>1.0878000000000001</v>
      </c>
      <c r="AK141">
        <v>6.9917999999999996</v>
      </c>
      <c r="AL141">
        <v>0.91820000000000002</v>
      </c>
      <c r="AM141">
        <v>186.63</v>
      </c>
      <c r="AN141">
        <v>123.92</v>
      </c>
      <c r="AO141">
        <v>115.39</v>
      </c>
      <c r="AP141">
        <v>101.72</v>
      </c>
      <c r="AQ141">
        <v>103.46</v>
      </c>
    </row>
    <row r="142" spans="1:43" x14ac:dyDescent="0.25">
      <c r="A142" s="7">
        <v>41912</v>
      </c>
      <c r="B142">
        <v>1.52E-2</v>
      </c>
      <c r="C142">
        <v>0.41599999999999998</v>
      </c>
      <c r="D142">
        <v>-9.0999999999999998E-2</v>
      </c>
      <c r="E142">
        <v>-4.0000000000000001E-3</v>
      </c>
      <c r="F142">
        <v>0.56699999999999995</v>
      </c>
      <c r="G142">
        <v>0.82389999999999997</v>
      </c>
      <c r="H142">
        <v>-8.3000000000000004E-2</v>
      </c>
      <c r="I142">
        <v>7.1999999999999995E-2</v>
      </c>
      <c r="J142">
        <v>2.4887999999999999</v>
      </c>
      <c r="K142">
        <v>2.4245000000000001</v>
      </c>
      <c r="L142">
        <v>0.94599999999999995</v>
      </c>
      <c r="M142">
        <v>0.52600000000000002</v>
      </c>
      <c r="N142">
        <v>16.309999999999999</v>
      </c>
      <c r="O142">
        <v>175.625</v>
      </c>
      <c r="P142">
        <v>85.936000000000007</v>
      </c>
      <c r="Q142">
        <v>98.5989</v>
      </c>
      <c r="R142">
        <v>2.4460999999999999</v>
      </c>
      <c r="S142">
        <v>91.16</v>
      </c>
      <c r="T142">
        <v>94.67</v>
      </c>
      <c r="U142">
        <v>423.17</v>
      </c>
      <c r="V142">
        <v>885.08</v>
      </c>
      <c r="W142">
        <v>1698.41</v>
      </c>
      <c r="X142">
        <v>1005.33</v>
      </c>
      <c r="Y142">
        <v>54115.98</v>
      </c>
      <c r="Z142">
        <v>12.244999999999999</v>
      </c>
      <c r="AA142">
        <v>12.2934</v>
      </c>
      <c r="AB142">
        <v>12.319100000000001</v>
      </c>
      <c r="AC142">
        <v>12.3002</v>
      </c>
      <c r="AD142">
        <v>12.2493</v>
      </c>
      <c r="AE142">
        <v>11.787100000000001</v>
      </c>
      <c r="AF142">
        <v>10.81</v>
      </c>
      <c r="AG142">
        <v>1.2630999999999999</v>
      </c>
      <c r="AH142">
        <v>109.65</v>
      </c>
      <c r="AI142">
        <v>1.6213</v>
      </c>
      <c r="AJ142">
        <v>1.1197999999999999</v>
      </c>
      <c r="AK142">
        <v>7.2137000000000002</v>
      </c>
      <c r="AL142">
        <v>0.95509999999999995</v>
      </c>
      <c r="AM142">
        <v>186.63</v>
      </c>
      <c r="AN142">
        <v>123.07</v>
      </c>
      <c r="AO142">
        <v>115.62</v>
      </c>
      <c r="AP142">
        <v>102.17</v>
      </c>
      <c r="AQ142">
        <v>103.35</v>
      </c>
    </row>
    <row r="143" spans="1:43" x14ac:dyDescent="0.25">
      <c r="A143" s="7">
        <v>41943</v>
      </c>
      <c r="B143">
        <v>5.1000000000000004E-3</v>
      </c>
      <c r="C143">
        <v>0.40200000000000002</v>
      </c>
      <c r="D143">
        <v>-0.13800000000000001</v>
      </c>
      <c r="E143">
        <v>-3.7999999999999999E-2</v>
      </c>
      <c r="F143">
        <v>0.4914</v>
      </c>
      <c r="G143">
        <v>0.65139999999999998</v>
      </c>
      <c r="H143">
        <v>-5.8000000000000003E-2</v>
      </c>
      <c r="I143">
        <v>2.8000000000000001E-2</v>
      </c>
      <c r="J143">
        <v>2.3353000000000002</v>
      </c>
      <c r="K143">
        <v>2.2462</v>
      </c>
      <c r="L143">
        <v>0.84</v>
      </c>
      <c r="M143">
        <v>0.45300000000000001</v>
      </c>
      <c r="N143">
        <v>14.03</v>
      </c>
      <c r="O143">
        <v>151.75</v>
      </c>
      <c r="P143">
        <v>86.917000000000002</v>
      </c>
      <c r="Q143">
        <v>99.758600000000001</v>
      </c>
      <c r="R143">
        <v>2.4779</v>
      </c>
      <c r="S143">
        <v>80.540000000000006</v>
      </c>
      <c r="T143">
        <v>85.86</v>
      </c>
      <c r="U143">
        <v>397.9</v>
      </c>
      <c r="V143">
        <v>874.9</v>
      </c>
      <c r="W143">
        <v>1708.09</v>
      </c>
      <c r="X143">
        <v>1016.07</v>
      </c>
      <c r="Y143">
        <v>54628.6</v>
      </c>
      <c r="Z143">
        <v>12.0205</v>
      </c>
      <c r="AA143">
        <v>12.0749</v>
      </c>
      <c r="AB143">
        <v>11.9421</v>
      </c>
      <c r="AC143">
        <v>12.296900000000001</v>
      </c>
      <c r="AD143">
        <v>12.3293</v>
      </c>
      <c r="AE143">
        <v>12.1784</v>
      </c>
      <c r="AF143">
        <v>11.06</v>
      </c>
      <c r="AG143">
        <v>1.2524999999999999</v>
      </c>
      <c r="AH143">
        <v>112.32</v>
      </c>
      <c r="AI143">
        <v>1.5994999999999999</v>
      </c>
      <c r="AJ143">
        <v>1.1266</v>
      </c>
      <c r="AK143">
        <v>7.3933999999999997</v>
      </c>
      <c r="AL143">
        <v>0.96260000000000001</v>
      </c>
      <c r="AM143">
        <v>186.63</v>
      </c>
      <c r="AN143">
        <v>127.33</v>
      </c>
      <c r="AO143">
        <v>115.78</v>
      </c>
      <c r="AP143">
        <v>101.38</v>
      </c>
      <c r="AQ143">
        <v>104.46</v>
      </c>
    </row>
    <row r="144" spans="1:43" x14ac:dyDescent="0.25">
      <c r="A144" s="7">
        <v>41971</v>
      </c>
      <c r="B144">
        <v>1.01E-2</v>
      </c>
      <c r="C144">
        <v>0.432</v>
      </c>
      <c r="D144">
        <v>-0.123</v>
      </c>
      <c r="E144">
        <v>-2.4E-2</v>
      </c>
      <c r="F144">
        <v>0.46850000000000003</v>
      </c>
      <c r="G144">
        <v>0.50970000000000004</v>
      </c>
      <c r="H144">
        <v>-3.4000000000000002E-2</v>
      </c>
      <c r="I144">
        <v>3.0000000000000001E-3</v>
      </c>
      <c r="J144">
        <v>2.1640000000000001</v>
      </c>
      <c r="K144">
        <v>1.9256</v>
      </c>
      <c r="L144">
        <v>0.7</v>
      </c>
      <c r="M144">
        <v>0.41599999999999998</v>
      </c>
      <c r="N144">
        <v>13.33</v>
      </c>
      <c r="O144">
        <v>153.517</v>
      </c>
      <c r="P144">
        <v>88.355999999999995</v>
      </c>
      <c r="Q144">
        <v>100.9498</v>
      </c>
      <c r="R144">
        <v>2.5651000000000002</v>
      </c>
      <c r="S144">
        <v>66.150000000000006</v>
      </c>
      <c r="T144">
        <v>70.150000000000006</v>
      </c>
      <c r="U144">
        <v>390.88</v>
      </c>
      <c r="V144">
        <v>847.51</v>
      </c>
      <c r="W144">
        <v>1739.5</v>
      </c>
      <c r="X144">
        <v>1004.72</v>
      </c>
      <c r="Y144">
        <v>54724</v>
      </c>
      <c r="Z144">
        <v>11.653</v>
      </c>
      <c r="AA144">
        <v>11.7316</v>
      </c>
      <c r="AB144">
        <v>11.53</v>
      </c>
      <c r="AC144">
        <v>11.9694</v>
      </c>
      <c r="AD144">
        <v>12.2212</v>
      </c>
      <c r="AE144">
        <v>12.446099999999999</v>
      </c>
      <c r="AF144">
        <v>11.06</v>
      </c>
      <c r="AG144">
        <v>1.2452000000000001</v>
      </c>
      <c r="AH144">
        <v>118.63</v>
      </c>
      <c r="AI144">
        <v>1.5645</v>
      </c>
      <c r="AJ144">
        <v>1.1415999999999999</v>
      </c>
      <c r="AK144">
        <v>7.4509999999999996</v>
      </c>
      <c r="AL144">
        <v>0.96530000000000005</v>
      </c>
      <c r="AM144">
        <v>186.63</v>
      </c>
      <c r="AN144">
        <v>116.29</v>
      </c>
      <c r="AO144">
        <v>114.7</v>
      </c>
      <c r="AP144">
        <v>101.61</v>
      </c>
      <c r="AQ144">
        <v>101.12</v>
      </c>
    </row>
    <row r="145" spans="1:43" x14ac:dyDescent="0.25">
      <c r="A145" s="7">
        <v>42004</v>
      </c>
      <c r="B145">
        <v>3.5499999999999997E-2</v>
      </c>
      <c r="C145">
        <v>0.41199999999999998</v>
      </c>
      <c r="D145">
        <v>-0.16400000000000001</v>
      </c>
      <c r="E145">
        <v>0</v>
      </c>
      <c r="F145">
        <v>0.66449999999999998</v>
      </c>
      <c r="G145">
        <v>0.44169999999999998</v>
      </c>
      <c r="H145">
        <v>-0.11</v>
      </c>
      <c r="I145">
        <v>-2.7E-2</v>
      </c>
      <c r="J145">
        <v>2.1711999999999998</v>
      </c>
      <c r="K145">
        <v>1.7545999999999999</v>
      </c>
      <c r="L145">
        <v>0.53800000000000003</v>
      </c>
      <c r="M145">
        <v>0.32200000000000001</v>
      </c>
      <c r="N145">
        <v>19.2</v>
      </c>
      <c r="O145">
        <v>200.755</v>
      </c>
      <c r="P145">
        <v>90.269000000000005</v>
      </c>
      <c r="Q145">
        <v>104.03189999999999</v>
      </c>
      <c r="R145">
        <v>2.6581999999999999</v>
      </c>
      <c r="S145">
        <v>53.27</v>
      </c>
      <c r="T145">
        <v>57.33</v>
      </c>
      <c r="U145">
        <v>369.36</v>
      </c>
      <c r="V145">
        <v>822.38</v>
      </c>
      <c r="W145">
        <v>1709.67</v>
      </c>
      <c r="X145">
        <v>956.31</v>
      </c>
      <c r="Y145">
        <v>50007.41</v>
      </c>
      <c r="Z145">
        <v>12.2887</v>
      </c>
      <c r="AA145">
        <v>12.434200000000001</v>
      </c>
      <c r="AB145">
        <v>12.11</v>
      </c>
      <c r="AC145">
        <v>12.7485</v>
      </c>
      <c r="AD145">
        <v>12.8995</v>
      </c>
      <c r="AE145">
        <v>12.96</v>
      </c>
      <c r="AF145">
        <v>11.57</v>
      </c>
      <c r="AG145">
        <v>1.2098</v>
      </c>
      <c r="AH145">
        <v>119.78</v>
      </c>
      <c r="AI145">
        <v>1.5577000000000001</v>
      </c>
      <c r="AJ145">
        <v>1.1620999999999999</v>
      </c>
      <c r="AK145">
        <v>7.8070000000000004</v>
      </c>
      <c r="AL145">
        <v>0.99429999999999996</v>
      </c>
      <c r="AM145">
        <v>186.63</v>
      </c>
      <c r="AN145">
        <v>102.21</v>
      </c>
      <c r="AO145">
        <v>111.58</v>
      </c>
      <c r="AP145">
        <v>101.96</v>
      </c>
      <c r="AQ145">
        <v>101.51</v>
      </c>
    </row>
    <row r="146" spans="1:43" x14ac:dyDescent="0.25">
      <c r="A146" s="7">
        <v>42034</v>
      </c>
      <c r="B146">
        <v>0</v>
      </c>
      <c r="C146">
        <v>0.34499999999999997</v>
      </c>
      <c r="D146">
        <v>-0.215</v>
      </c>
      <c r="E146">
        <v>-1E-3</v>
      </c>
      <c r="F146">
        <v>0.44879999999999998</v>
      </c>
      <c r="G146">
        <v>0.34770000000000001</v>
      </c>
      <c r="H146">
        <v>-0.187</v>
      </c>
      <c r="I146">
        <v>1E-3</v>
      </c>
      <c r="J146">
        <v>1.6407</v>
      </c>
      <c r="K146">
        <v>1.3295999999999999</v>
      </c>
      <c r="L146">
        <v>0.30199999999999999</v>
      </c>
      <c r="M146">
        <v>0.27200000000000002</v>
      </c>
      <c r="N146">
        <v>20.97</v>
      </c>
      <c r="O146">
        <v>226.62899999999999</v>
      </c>
      <c r="P146">
        <v>94.804000000000002</v>
      </c>
      <c r="Q146">
        <v>104.742</v>
      </c>
      <c r="R146">
        <v>2.6836000000000002</v>
      </c>
      <c r="S146">
        <v>48.24</v>
      </c>
      <c r="T146">
        <v>52.99</v>
      </c>
      <c r="U146">
        <v>350.12</v>
      </c>
      <c r="V146">
        <v>792.01</v>
      </c>
      <c r="W146">
        <v>1677.54</v>
      </c>
      <c r="X146">
        <v>961.61</v>
      </c>
      <c r="Y146">
        <v>46907.68</v>
      </c>
      <c r="Z146">
        <v>11.8863</v>
      </c>
      <c r="AA146">
        <v>12.0151</v>
      </c>
      <c r="AB146">
        <v>11.78</v>
      </c>
      <c r="AC146">
        <v>12.2166</v>
      </c>
      <c r="AD146">
        <v>12.4384</v>
      </c>
      <c r="AE146">
        <v>12.745799999999999</v>
      </c>
      <c r="AF146">
        <v>12.08</v>
      </c>
      <c r="AG146">
        <v>1.1291</v>
      </c>
      <c r="AH146">
        <v>117.49</v>
      </c>
      <c r="AI146">
        <v>1.506</v>
      </c>
      <c r="AJ146">
        <v>1.2732000000000001</v>
      </c>
      <c r="AK146">
        <v>8.2858999999999998</v>
      </c>
      <c r="AL146">
        <v>0.92020000000000002</v>
      </c>
      <c r="AM146">
        <v>186.63</v>
      </c>
      <c r="AN146">
        <v>102.66</v>
      </c>
      <c r="AO146">
        <v>112.07</v>
      </c>
      <c r="AP146">
        <v>101.24</v>
      </c>
      <c r="AQ146">
        <v>96.98</v>
      </c>
    </row>
    <row r="147" spans="1:43" x14ac:dyDescent="0.25">
      <c r="A147" s="7">
        <v>42062</v>
      </c>
      <c r="B147">
        <v>1.01E-2</v>
      </c>
      <c r="C147">
        <v>0.38100000000000001</v>
      </c>
      <c r="D147">
        <v>-0.26900000000000002</v>
      </c>
      <c r="E147">
        <v>-4.0000000000000001E-3</v>
      </c>
      <c r="F147">
        <v>0.61839999999999995</v>
      </c>
      <c r="G147">
        <v>0.43070000000000003</v>
      </c>
      <c r="H147">
        <v>-0.22900000000000001</v>
      </c>
      <c r="I147">
        <v>8.9999999999999993E-3</v>
      </c>
      <c r="J147">
        <v>1.9930000000000001</v>
      </c>
      <c r="K147">
        <v>1.7954000000000001</v>
      </c>
      <c r="L147">
        <v>0.32700000000000001</v>
      </c>
      <c r="M147">
        <v>0.32900000000000001</v>
      </c>
      <c r="N147">
        <v>13.34</v>
      </c>
      <c r="O147">
        <v>242.90600000000001</v>
      </c>
      <c r="P147">
        <v>95.293000000000006</v>
      </c>
      <c r="Q147">
        <v>105.71210000000001</v>
      </c>
      <c r="R147">
        <v>2.8389000000000002</v>
      </c>
      <c r="S147">
        <v>49.76</v>
      </c>
      <c r="T147">
        <v>62.58</v>
      </c>
      <c r="U147">
        <v>356.13</v>
      </c>
      <c r="V147">
        <v>735.16</v>
      </c>
      <c r="W147">
        <v>1772.86</v>
      </c>
      <c r="X147">
        <v>990.28</v>
      </c>
      <c r="Y147">
        <v>51583.09</v>
      </c>
      <c r="Z147">
        <v>12.4573</v>
      </c>
      <c r="AA147">
        <v>12.3209</v>
      </c>
      <c r="AB147">
        <v>12.149900000000001</v>
      </c>
      <c r="AC147">
        <v>12.507899999999999</v>
      </c>
      <c r="AD147">
        <v>12.7324</v>
      </c>
      <c r="AE147">
        <v>13.05</v>
      </c>
      <c r="AF147">
        <v>12.09</v>
      </c>
      <c r="AG147">
        <v>1.1195999999999999</v>
      </c>
      <c r="AH147">
        <v>119.63</v>
      </c>
      <c r="AI147">
        <v>1.5438000000000001</v>
      </c>
      <c r="AJ147">
        <v>1.2515000000000001</v>
      </c>
      <c r="AK147">
        <v>8.3373000000000008</v>
      </c>
      <c r="AL147">
        <v>0.95430000000000004</v>
      </c>
      <c r="AM147">
        <v>186.63</v>
      </c>
      <c r="AN147">
        <v>97.57</v>
      </c>
      <c r="AO147">
        <v>111.04</v>
      </c>
      <c r="AP147">
        <v>100.51</v>
      </c>
      <c r="AQ147">
        <v>95.44</v>
      </c>
    </row>
    <row r="148" spans="1:43" x14ac:dyDescent="0.25">
      <c r="A148" s="7">
        <v>42094</v>
      </c>
      <c r="B148">
        <v>2.0299999999999999E-2</v>
      </c>
      <c r="C148">
        <v>0.434</v>
      </c>
      <c r="D148">
        <v>-0.312</v>
      </c>
      <c r="E148">
        <v>5.0000000000000001E-3</v>
      </c>
      <c r="F148">
        <v>0.55510000000000004</v>
      </c>
      <c r="G148">
        <v>0.41980000000000001</v>
      </c>
      <c r="H148">
        <v>-0.255</v>
      </c>
      <c r="I148">
        <v>3.5999999999999997E-2</v>
      </c>
      <c r="J148">
        <v>1.9231</v>
      </c>
      <c r="K148">
        <v>1.5759000000000001</v>
      </c>
      <c r="L148">
        <v>0.18</v>
      </c>
      <c r="M148">
        <v>0.39600000000000002</v>
      </c>
      <c r="N148">
        <v>15.29</v>
      </c>
      <c r="O148">
        <v>282.70499999999998</v>
      </c>
      <c r="P148">
        <v>98.356999999999999</v>
      </c>
      <c r="Q148">
        <v>107.0934</v>
      </c>
      <c r="R148">
        <v>3.1974</v>
      </c>
      <c r="S148">
        <v>47.6</v>
      </c>
      <c r="T148">
        <v>55.11</v>
      </c>
      <c r="U148">
        <v>346.77</v>
      </c>
      <c r="V148">
        <v>724.33</v>
      </c>
      <c r="W148">
        <v>1740.81</v>
      </c>
      <c r="X148">
        <v>974.57</v>
      </c>
      <c r="Y148">
        <v>51150.16</v>
      </c>
      <c r="Z148">
        <v>13.054600000000001</v>
      </c>
      <c r="AA148">
        <v>12.987399999999999</v>
      </c>
      <c r="AB148">
        <v>13.206300000000001</v>
      </c>
      <c r="AC148">
        <v>13.1709</v>
      </c>
      <c r="AD148">
        <v>13.3</v>
      </c>
      <c r="AE148">
        <v>13.5106</v>
      </c>
      <c r="AF148">
        <v>12.6</v>
      </c>
      <c r="AG148">
        <v>1.0730999999999999</v>
      </c>
      <c r="AH148">
        <v>120.13</v>
      </c>
      <c r="AI148">
        <v>1.4818</v>
      </c>
      <c r="AJ148">
        <v>1.2685999999999999</v>
      </c>
      <c r="AK148">
        <v>8.6313999999999993</v>
      </c>
      <c r="AL148">
        <v>0.97270000000000001</v>
      </c>
      <c r="AM148">
        <v>186.63</v>
      </c>
      <c r="AN148">
        <v>109.93</v>
      </c>
      <c r="AO148">
        <v>110.67</v>
      </c>
      <c r="AP148">
        <v>100.35</v>
      </c>
      <c r="AQ148">
        <v>104.36</v>
      </c>
    </row>
    <row r="149" spans="1:43" x14ac:dyDescent="0.25">
      <c r="A149" s="7">
        <v>42124</v>
      </c>
      <c r="B149">
        <v>0</v>
      </c>
      <c r="C149">
        <v>0.41599999999999998</v>
      </c>
      <c r="D149">
        <v>-0.36699999999999999</v>
      </c>
      <c r="E149">
        <v>-1.6E-2</v>
      </c>
      <c r="F149">
        <v>0.56699999999999995</v>
      </c>
      <c r="G149">
        <v>0.53210000000000002</v>
      </c>
      <c r="H149">
        <v>-0.224</v>
      </c>
      <c r="I149">
        <v>7.0000000000000001E-3</v>
      </c>
      <c r="J149">
        <v>2.0316999999999998</v>
      </c>
      <c r="K149">
        <v>1.8331</v>
      </c>
      <c r="L149">
        <v>0.36399999999999999</v>
      </c>
      <c r="M149">
        <v>0.33600000000000002</v>
      </c>
      <c r="N149">
        <v>14.55</v>
      </c>
      <c r="O149">
        <v>234.34100000000001</v>
      </c>
      <c r="P149">
        <v>94.6</v>
      </c>
      <c r="Q149">
        <v>106.0605</v>
      </c>
      <c r="R149">
        <v>3.0144000000000002</v>
      </c>
      <c r="S149">
        <v>59.63</v>
      </c>
      <c r="T149">
        <v>66.78</v>
      </c>
      <c r="U149">
        <v>356.82</v>
      </c>
      <c r="V149">
        <v>739.99</v>
      </c>
      <c r="W149">
        <v>1778.4</v>
      </c>
      <c r="X149">
        <v>1047.78</v>
      </c>
      <c r="Y149">
        <v>56229.38</v>
      </c>
      <c r="Z149">
        <v>12.629899999999999</v>
      </c>
      <c r="AA149">
        <v>12.6089</v>
      </c>
      <c r="AB149">
        <v>12.337400000000001</v>
      </c>
      <c r="AC149">
        <v>13.0975</v>
      </c>
      <c r="AD149">
        <v>13.3523</v>
      </c>
      <c r="AE149">
        <v>13.451000000000001</v>
      </c>
      <c r="AF149">
        <v>13.11</v>
      </c>
      <c r="AG149">
        <v>1.1224000000000001</v>
      </c>
      <c r="AH149">
        <v>119.38</v>
      </c>
      <c r="AI149">
        <v>1.5350999999999999</v>
      </c>
      <c r="AJ149">
        <v>1.2077</v>
      </c>
      <c r="AK149">
        <v>8.3331</v>
      </c>
      <c r="AL149">
        <v>0.93240000000000001</v>
      </c>
      <c r="AM149">
        <v>186.63</v>
      </c>
      <c r="AN149">
        <v>103.51</v>
      </c>
      <c r="AO149">
        <v>108.53</v>
      </c>
      <c r="AP149">
        <v>99.04</v>
      </c>
      <c r="AQ149">
        <v>99.3</v>
      </c>
    </row>
    <row r="150" spans="1:43" x14ac:dyDescent="0.25">
      <c r="A150" s="7">
        <v>42153</v>
      </c>
      <c r="B150">
        <v>0</v>
      </c>
      <c r="C150">
        <v>0.432</v>
      </c>
      <c r="D150">
        <v>-0.33</v>
      </c>
      <c r="E150">
        <v>1E-3</v>
      </c>
      <c r="F150">
        <v>0.60529999999999995</v>
      </c>
      <c r="G150">
        <v>0.50600000000000001</v>
      </c>
      <c r="H150">
        <v>-0.22900000000000001</v>
      </c>
      <c r="I150">
        <v>-6.0000000000000001E-3</v>
      </c>
      <c r="J150">
        <v>2.1214</v>
      </c>
      <c r="K150">
        <v>1.8128</v>
      </c>
      <c r="L150">
        <v>0.48599999999999999</v>
      </c>
      <c r="M150">
        <v>0.38900000000000001</v>
      </c>
      <c r="N150">
        <v>13.84</v>
      </c>
      <c r="O150">
        <v>235.49600000000001</v>
      </c>
      <c r="P150">
        <v>96.906999999999996</v>
      </c>
      <c r="Q150">
        <v>106.27209999999999</v>
      </c>
      <c r="R150">
        <v>3.1787000000000001</v>
      </c>
      <c r="S150">
        <v>60.3</v>
      </c>
      <c r="T150">
        <v>65.56</v>
      </c>
      <c r="U150">
        <v>370.15</v>
      </c>
      <c r="V150">
        <v>725.07</v>
      </c>
      <c r="W150">
        <v>1779.31</v>
      </c>
      <c r="X150">
        <v>1004.22</v>
      </c>
      <c r="Y150">
        <v>52760.480000000003</v>
      </c>
      <c r="Z150">
        <v>12.2873</v>
      </c>
      <c r="AA150">
        <v>12.38</v>
      </c>
      <c r="AB150">
        <v>12.211399999999999</v>
      </c>
      <c r="AC150">
        <v>12.706099999999999</v>
      </c>
      <c r="AD150">
        <v>13.067399999999999</v>
      </c>
      <c r="AE150">
        <v>13.76</v>
      </c>
      <c r="AF150">
        <v>13.13</v>
      </c>
      <c r="AG150">
        <v>1.0986</v>
      </c>
      <c r="AH150">
        <v>124.15</v>
      </c>
      <c r="AI150">
        <v>1.5290999999999999</v>
      </c>
      <c r="AJ150">
        <v>1.2454000000000001</v>
      </c>
      <c r="AK150">
        <v>8.5188000000000006</v>
      </c>
      <c r="AL150">
        <v>0.94030000000000002</v>
      </c>
      <c r="AM150">
        <v>186.63</v>
      </c>
      <c r="AN150">
        <v>108.44</v>
      </c>
      <c r="AO150">
        <v>107.29</v>
      </c>
      <c r="AP150">
        <v>98.38</v>
      </c>
      <c r="AQ150">
        <v>97.42</v>
      </c>
    </row>
    <row r="151" spans="1:43" x14ac:dyDescent="0.25">
      <c r="A151" s="7">
        <v>42185</v>
      </c>
      <c r="B151">
        <v>5.1000000000000004E-3</v>
      </c>
      <c r="C151">
        <v>0.47899999999999998</v>
      </c>
      <c r="D151">
        <v>-0.29799999999999999</v>
      </c>
      <c r="E151">
        <v>2E-3</v>
      </c>
      <c r="F151">
        <v>0.64270000000000005</v>
      </c>
      <c r="G151">
        <v>0.55730000000000002</v>
      </c>
      <c r="H151">
        <v>-0.22900000000000001</v>
      </c>
      <c r="I151">
        <v>0</v>
      </c>
      <c r="J151">
        <v>2.3531</v>
      </c>
      <c r="K151">
        <v>2.0236000000000001</v>
      </c>
      <c r="L151">
        <v>0.76300000000000001</v>
      </c>
      <c r="M151">
        <v>0.45900000000000002</v>
      </c>
      <c r="N151">
        <v>18.23</v>
      </c>
      <c r="O151">
        <v>259.89</v>
      </c>
      <c r="P151">
        <v>95.484999999999999</v>
      </c>
      <c r="Q151">
        <v>107.2589</v>
      </c>
      <c r="R151">
        <v>3.1030000000000002</v>
      </c>
      <c r="S151">
        <v>59.47</v>
      </c>
      <c r="T151">
        <v>63.59</v>
      </c>
      <c r="U151">
        <v>377.69</v>
      </c>
      <c r="V151">
        <v>701.48</v>
      </c>
      <c r="W151">
        <v>1735.61</v>
      </c>
      <c r="X151">
        <v>972.25</v>
      </c>
      <c r="Y151">
        <v>53080.88</v>
      </c>
      <c r="Z151">
        <v>12.6531</v>
      </c>
      <c r="AA151">
        <v>12.719200000000001</v>
      </c>
      <c r="AB151">
        <v>12.5764</v>
      </c>
      <c r="AC151">
        <v>13.065799999999999</v>
      </c>
      <c r="AD151">
        <v>13.6</v>
      </c>
      <c r="AE151">
        <v>14.2704</v>
      </c>
      <c r="AF151">
        <v>13.64</v>
      </c>
      <c r="AG151">
        <v>1.1147</v>
      </c>
      <c r="AH151">
        <v>122.5</v>
      </c>
      <c r="AI151">
        <v>1.5711999999999999</v>
      </c>
      <c r="AJ151">
        <v>1.2494000000000001</v>
      </c>
      <c r="AK151">
        <v>8.2872000000000003</v>
      </c>
      <c r="AL151">
        <v>0.9355</v>
      </c>
      <c r="AM151">
        <v>186.63</v>
      </c>
      <c r="AN151">
        <v>107.78</v>
      </c>
      <c r="AO151">
        <v>106.47</v>
      </c>
      <c r="AP151">
        <v>97.4</v>
      </c>
      <c r="AQ151">
        <v>96.68</v>
      </c>
    </row>
    <row r="152" spans="1:43" x14ac:dyDescent="0.25">
      <c r="A152" s="7">
        <v>42216</v>
      </c>
      <c r="B152">
        <v>6.0999999999999999E-2</v>
      </c>
      <c r="C152">
        <v>0.48</v>
      </c>
      <c r="D152">
        <v>-0.312</v>
      </c>
      <c r="E152">
        <v>-1E-3</v>
      </c>
      <c r="F152">
        <v>0.66059999999999997</v>
      </c>
      <c r="G152">
        <v>0.56440000000000001</v>
      </c>
      <c r="H152">
        <v>-0.23499999999999999</v>
      </c>
      <c r="I152">
        <v>2E-3</v>
      </c>
      <c r="J152">
        <v>2.1800999999999999</v>
      </c>
      <c r="K152">
        <v>1.8811</v>
      </c>
      <c r="L152">
        <v>0.64300000000000002</v>
      </c>
      <c r="M152">
        <v>0.40500000000000003</v>
      </c>
      <c r="N152">
        <v>12.12</v>
      </c>
      <c r="O152">
        <v>292.66500000000002</v>
      </c>
      <c r="P152">
        <v>97.335999999999999</v>
      </c>
      <c r="Q152">
        <v>108.8631</v>
      </c>
      <c r="R152">
        <v>3.4211</v>
      </c>
      <c r="S152">
        <v>47.12</v>
      </c>
      <c r="T152">
        <v>52.21</v>
      </c>
      <c r="U152">
        <v>360.64</v>
      </c>
      <c r="V152">
        <v>694.57</v>
      </c>
      <c r="W152">
        <v>1765.6</v>
      </c>
      <c r="X152">
        <v>901.68</v>
      </c>
      <c r="Y152">
        <v>50864.77</v>
      </c>
      <c r="Z152">
        <v>12.816599999999999</v>
      </c>
      <c r="AA152">
        <v>12.797800000000001</v>
      </c>
      <c r="AB152">
        <v>12.95</v>
      </c>
      <c r="AC152">
        <v>12.8453</v>
      </c>
      <c r="AD152">
        <v>13.091100000000001</v>
      </c>
      <c r="AE152">
        <v>13.884399999999999</v>
      </c>
      <c r="AF152">
        <v>14.13</v>
      </c>
      <c r="AG152">
        <v>1.0984</v>
      </c>
      <c r="AH152">
        <v>123.89</v>
      </c>
      <c r="AI152">
        <v>1.5622</v>
      </c>
      <c r="AJ152">
        <v>1.3090999999999999</v>
      </c>
      <c r="AK152">
        <v>8.6251999999999995</v>
      </c>
      <c r="AL152">
        <v>0.96630000000000005</v>
      </c>
      <c r="AM152">
        <v>186.63</v>
      </c>
      <c r="AN152">
        <v>111.25</v>
      </c>
      <c r="AO152">
        <v>104.59</v>
      </c>
      <c r="AP152">
        <v>96.34</v>
      </c>
      <c r="AQ152">
        <v>99.79</v>
      </c>
    </row>
    <row r="153" spans="1:43" x14ac:dyDescent="0.25">
      <c r="A153" s="7">
        <v>42247</v>
      </c>
      <c r="B153">
        <v>0</v>
      </c>
      <c r="C153">
        <v>0.497</v>
      </c>
      <c r="D153">
        <v>-0.33100000000000002</v>
      </c>
      <c r="E153">
        <v>0</v>
      </c>
      <c r="F153">
        <v>0.73750000000000004</v>
      </c>
      <c r="G153">
        <v>0.68489999999999995</v>
      </c>
      <c r="H153">
        <v>-0.20699999999999999</v>
      </c>
      <c r="I153">
        <v>0.01</v>
      </c>
      <c r="J153">
        <v>2.2179000000000002</v>
      </c>
      <c r="K153">
        <v>1.9616</v>
      </c>
      <c r="L153">
        <v>0.79700000000000004</v>
      </c>
      <c r="M153">
        <v>0.375</v>
      </c>
      <c r="N153">
        <v>28.43</v>
      </c>
      <c r="O153">
        <v>350.77199999999999</v>
      </c>
      <c r="P153">
        <v>95.823999999999998</v>
      </c>
      <c r="Q153">
        <v>112.30540000000001</v>
      </c>
      <c r="R153">
        <v>3.6198000000000001</v>
      </c>
      <c r="S153">
        <v>49.2</v>
      </c>
      <c r="T153">
        <v>54.15</v>
      </c>
      <c r="U153">
        <v>360.54</v>
      </c>
      <c r="V153">
        <v>647.66999999999996</v>
      </c>
      <c r="W153">
        <v>1645.43</v>
      </c>
      <c r="X153">
        <v>818.73</v>
      </c>
      <c r="Y153">
        <v>46625.52</v>
      </c>
      <c r="Z153">
        <v>14.149800000000001</v>
      </c>
      <c r="AA153">
        <v>14.12</v>
      </c>
      <c r="AB153">
        <v>14.2271</v>
      </c>
      <c r="AC153">
        <v>14.1525</v>
      </c>
      <c r="AD153">
        <v>14.1457</v>
      </c>
      <c r="AE153">
        <v>14.38</v>
      </c>
      <c r="AF153">
        <v>14.13</v>
      </c>
      <c r="AG153">
        <v>1.1211</v>
      </c>
      <c r="AH153">
        <v>121.23</v>
      </c>
      <c r="AI153">
        <v>1.5345</v>
      </c>
      <c r="AJ153">
        <v>1.3140000000000001</v>
      </c>
      <c r="AK153">
        <v>8.4731000000000005</v>
      </c>
      <c r="AL153">
        <v>0.96730000000000005</v>
      </c>
      <c r="AM153">
        <v>186.63</v>
      </c>
      <c r="AN153">
        <v>113.73</v>
      </c>
      <c r="AO153">
        <v>105.02</v>
      </c>
      <c r="AP153">
        <v>96.78</v>
      </c>
      <c r="AQ153">
        <v>98.12</v>
      </c>
    </row>
    <row r="154" spans="1:43" x14ac:dyDescent="0.25">
      <c r="A154" s="7">
        <v>42277</v>
      </c>
      <c r="B154">
        <v>-2.0299999999999999E-2</v>
      </c>
      <c r="C154">
        <v>0.499</v>
      </c>
      <c r="D154">
        <v>-0.376</v>
      </c>
      <c r="E154">
        <v>-2.3E-2</v>
      </c>
      <c r="F154">
        <v>0.62890000000000001</v>
      </c>
      <c r="G154">
        <v>0.56010000000000004</v>
      </c>
      <c r="H154">
        <v>-0.255</v>
      </c>
      <c r="I154">
        <v>1.4999999999999999E-2</v>
      </c>
      <c r="J154">
        <v>2.0367999999999999</v>
      </c>
      <c r="K154">
        <v>1.7614000000000001</v>
      </c>
      <c r="L154">
        <v>0.58599999999999997</v>
      </c>
      <c r="M154">
        <v>0.35099999999999998</v>
      </c>
      <c r="N154">
        <v>24.5</v>
      </c>
      <c r="O154">
        <v>480.02699999999999</v>
      </c>
      <c r="P154">
        <v>96.35</v>
      </c>
      <c r="Q154">
        <v>114.149</v>
      </c>
      <c r="R154">
        <v>3.9470999999999998</v>
      </c>
      <c r="S154">
        <v>45.09</v>
      </c>
      <c r="T154">
        <v>48.37</v>
      </c>
      <c r="U154">
        <v>360.87</v>
      </c>
      <c r="V154">
        <v>639.26</v>
      </c>
      <c r="W154">
        <v>1581.92</v>
      </c>
      <c r="X154">
        <v>792.05</v>
      </c>
      <c r="Y154">
        <v>45059.34</v>
      </c>
      <c r="Z154">
        <v>15.591799999999999</v>
      </c>
      <c r="AA154">
        <v>15.6174</v>
      </c>
      <c r="AB154">
        <v>15.57</v>
      </c>
      <c r="AC154">
        <v>15.857200000000001</v>
      </c>
      <c r="AD154">
        <v>15.820600000000001</v>
      </c>
      <c r="AE154">
        <v>15.568199999999999</v>
      </c>
      <c r="AF154">
        <v>14.13</v>
      </c>
      <c r="AG154">
        <v>1.1176999999999999</v>
      </c>
      <c r="AH154">
        <v>119.88</v>
      </c>
      <c r="AI154">
        <v>1.5127999999999999</v>
      </c>
      <c r="AJ154">
        <v>1.3312999999999999</v>
      </c>
      <c r="AK154">
        <v>8.3698999999999995</v>
      </c>
      <c r="AL154">
        <v>0.97330000000000005</v>
      </c>
      <c r="AM154">
        <v>186.63</v>
      </c>
      <c r="AN154">
        <v>109.91</v>
      </c>
      <c r="AO154">
        <v>102.66</v>
      </c>
      <c r="AP154">
        <v>96.03</v>
      </c>
      <c r="AQ154">
        <v>96.34</v>
      </c>
    </row>
    <row r="155" spans="1:43" x14ac:dyDescent="0.25">
      <c r="A155" s="7">
        <v>42307</v>
      </c>
      <c r="B155">
        <v>7.1199999999999999E-2</v>
      </c>
      <c r="C155">
        <v>0.501</v>
      </c>
      <c r="D155">
        <v>-0.371</v>
      </c>
      <c r="E155">
        <v>-1E-3</v>
      </c>
      <c r="F155">
        <v>0.72399999999999998</v>
      </c>
      <c r="G155">
        <v>0.62339999999999995</v>
      </c>
      <c r="H155">
        <v>-0.317</v>
      </c>
      <c r="I155">
        <v>2E-3</v>
      </c>
      <c r="J155">
        <v>2.1421000000000001</v>
      </c>
      <c r="K155">
        <v>1.9212</v>
      </c>
      <c r="L155">
        <v>0.51700000000000002</v>
      </c>
      <c r="M155">
        <v>0.30399999999999999</v>
      </c>
      <c r="N155">
        <v>15.07</v>
      </c>
      <c r="O155">
        <v>440.51400000000001</v>
      </c>
      <c r="P155">
        <v>96.945999999999998</v>
      </c>
      <c r="Q155">
        <v>112.8038</v>
      </c>
      <c r="R155">
        <v>3.8567999999999998</v>
      </c>
      <c r="S155">
        <v>46.59</v>
      </c>
      <c r="T155">
        <v>49.56</v>
      </c>
      <c r="U155">
        <v>368.77</v>
      </c>
      <c r="V155">
        <v>600.46</v>
      </c>
      <c r="W155">
        <v>1705.8</v>
      </c>
      <c r="X155">
        <v>847.84</v>
      </c>
      <c r="Y155">
        <v>45868.82</v>
      </c>
      <c r="Z155">
        <v>15.934699999999999</v>
      </c>
      <c r="AA155">
        <v>15.9552</v>
      </c>
      <c r="AB155">
        <v>16.025500000000001</v>
      </c>
      <c r="AC155">
        <v>15.9885</v>
      </c>
      <c r="AD155">
        <v>15.853899999999999</v>
      </c>
      <c r="AE155">
        <v>15.401</v>
      </c>
      <c r="AF155">
        <v>14.14</v>
      </c>
      <c r="AG155">
        <v>1.1006</v>
      </c>
      <c r="AH155">
        <v>120.62</v>
      </c>
      <c r="AI155">
        <v>1.5427999999999999</v>
      </c>
      <c r="AJ155">
        <v>1.3080000000000001</v>
      </c>
      <c r="AK155">
        <v>8.5372000000000003</v>
      </c>
      <c r="AL155">
        <v>0.9879</v>
      </c>
      <c r="AM155">
        <v>186.63</v>
      </c>
      <c r="AN155">
        <v>113.32</v>
      </c>
      <c r="AO155">
        <v>102.51</v>
      </c>
      <c r="AP155">
        <v>96.48</v>
      </c>
      <c r="AQ155">
        <v>97.7</v>
      </c>
    </row>
    <row r="156" spans="1:43" x14ac:dyDescent="0.25">
      <c r="A156" s="7">
        <v>42338</v>
      </c>
      <c r="B156">
        <v>0.1678</v>
      </c>
      <c r="C156">
        <v>0.49299999999999999</v>
      </c>
      <c r="D156">
        <v>-0.434</v>
      </c>
      <c r="E156">
        <v>-6.9000000000000006E-2</v>
      </c>
      <c r="F156">
        <v>0.9304</v>
      </c>
      <c r="G156">
        <v>0.60089999999999999</v>
      </c>
      <c r="H156">
        <v>-0.41899999999999998</v>
      </c>
      <c r="I156">
        <v>-1.0999999999999999E-2</v>
      </c>
      <c r="J156">
        <v>2.206</v>
      </c>
      <c r="K156">
        <v>1.8236000000000001</v>
      </c>
      <c r="L156">
        <v>0.47199999999999998</v>
      </c>
      <c r="M156">
        <v>0.30199999999999999</v>
      </c>
      <c r="N156">
        <v>16.13</v>
      </c>
      <c r="O156">
        <v>444.13299999999998</v>
      </c>
      <c r="P156">
        <v>100.17</v>
      </c>
      <c r="Q156">
        <v>113.2985</v>
      </c>
      <c r="R156">
        <v>3.8685</v>
      </c>
      <c r="S156">
        <v>41.65</v>
      </c>
      <c r="T156">
        <v>44.61</v>
      </c>
      <c r="U156">
        <v>362.29</v>
      </c>
      <c r="V156">
        <v>548.80999999999995</v>
      </c>
      <c r="W156">
        <v>1694.4</v>
      </c>
      <c r="X156">
        <v>814.3</v>
      </c>
      <c r="Y156">
        <v>45120.36</v>
      </c>
      <c r="Z156">
        <v>15.917</v>
      </c>
      <c r="AA156">
        <v>15.9594</v>
      </c>
      <c r="AB156">
        <v>15.9031</v>
      </c>
      <c r="AC156">
        <v>16.2377</v>
      </c>
      <c r="AD156">
        <v>16.168600000000001</v>
      </c>
      <c r="AE156">
        <v>15.728</v>
      </c>
      <c r="AF156">
        <v>14.14</v>
      </c>
      <c r="AG156">
        <v>1.0565</v>
      </c>
      <c r="AH156">
        <v>123.11</v>
      </c>
      <c r="AI156">
        <v>1.5056</v>
      </c>
      <c r="AJ156">
        <v>1.3362000000000001</v>
      </c>
      <c r="AK156">
        <v>8.7276000000000007</v>
      </c>
      <c r="AL156">
        <v>1.0289999999999999</v>
      </c>
      <c r="AM156">
        <v>186.63</v>
      </c>
      <c r="AN156">
        <v>102.02</v>
      </c>
      <c r="AO156">
        <v>100.71</v>
      </c>
      <c r="AP156">
        <v>95.47</v>
      </c>
      <c r="AQ156">
        <v>94.96</v>
      </c>
    </row>
    <row r="157" spans="1:43" x14ac:dyDescent="0.25">
      <c r="A157" s="7">
        <v>42369</v>
      </c>
      <c r="B157">
        <v>0.16270000000000001</v>
      </c>
      <c r="C157">
        <v>0.50800000000000001</v>
      </c>
      <c r="D157">
        <v>-0.53900000000000003</v>
      </c>
      <c r="E157">
        <v>-3.5000000000000003E-2</v>
      </c>
      <c r="F157">
        <v>1.0477000000000001</v>
      </c>
      <c r="G157">
        <v>0.64780000000000004</v>
      </c>
      <c r="H157">
        <v>-0.34899999999999998</v>
      </c>
      <c r="I157">
        <v>-1.4E-2</v>
      </c>
      <c r="J157">
        <v>2.2694000000000001</v>
      </c>
      <c r="K157">
        <v>1.9585999999999999</v>
      </c>
      <c r="L157">
        <v>0.628</v>
      </c>
      <c r="M157">
        <v>0.26</v>
      </c>
      <c r="N157">
        <v>18.21</v>
      </c>
      <c r="O157">
        <v>494.93900000000002</v>
      </c>
      <c r="P157">
        <v>98.631</v>
      </c>
      <c r="Q157">
        <v>115.1947</v>
      </c>
      <c r="R157">
        <v>3.964</v>
      </c>
      <c r="S157">
        <v>37.04</v>
      </c>
      <c r="T157">
        <v>37.28</v>
      </c>
      <c r="U157">
        <v>334.99</v>
      </c>
      <c r="V157">
        <v>555.53</v>
      </c>
      <c r="W157">
        <v>1662.79</v>
      </c>
      <c r="X157">
        <v>794.14</v>
      </c>
      <c r="Y157">
        <v>43349.96</v>
      </c>
      <c r="Z157">
        <v>16.5305</v>
      </c>
      <c r="AA157">
        <v>16.618300000000001</v>
      </c>
      <c r="AB157">
        <v>16.518899999999999</v>
      </c>
      <c r="AC157">
        <v>16.71</v>
      </c>
      <c r="AD157">
        <v>16.5337</v>
      </c>
      <c r="AE157">
        <v>15.8674</v>
      </c>
      <c r="AF157">
        <v>14.14</v>
      </c>
      <c r="AG157">
        <v>1.0862000000000001</v>
      </c>
      <c r="AH157">
        <v>120.22</v>
      </c>
      <c r="AI157">
        <v>1.4736</v>
      </c>
      <c r="AJ157">
        <v>1.3838999999999999</v>
      </c>
      <c r="AK157">
        <v>8.4412000000000003</v>
      </c>
      <c r="AL157">
        <v>1.0021</v>
      </c>
      <c r="AM157">
        <v>186.63</v>
      </c>
      <c r="AN157">
        <v>89.97</v>
      </c>
      <c r="AO157">
        <v>99.25</v>
      </c>
      <c r="AP157">
        <v>95.29</v>
      </c>
      <c r="AQ157">
        <v>95.38</v>
      </c>
    </row>
    <row r="158" spans="1:43" x14ac:dyDescent="0.25">
      <c r="A158" s="7">
        <v>42398</v>
      </c>
      <c r="B158">
        <v>0.31030000000000002</v>
      </c>
      <c r="C158">
        <v>0.47699999999999998</v>
      </c>
      <c r="D158">
        <v>-0.47599999999999998</v>
      </c>
      <c r="E158">
        <v>-3.2000000000000001E-2</v>
      </c>
      <c r="F158">
        <v>0.77370000000000005</v>
      </c>
      <c r="G158">
        <v>0.33200000000000002</v>
      </c>
      <c r="H158">
        <v>-0.49</v>
      </c>
      <c r="I158">
        <v>-0.08</v>
      </c>
      <c r="J158">
        <v>1.9209000000000001</v>
      </c>
      <c r="K158">
        <v>1.5588</v>
      </c>
      <c r="L158">
        <v>0.32400000000000001</v>
      </c>
      <c r="M158">
        <v>9.5000000000000001E-2</v>
      </c>
      <c r="N158">
        <v>20.2</v>
      </c>
      <c r="O158">
        <v>473.447</v>
      </c>
      <c r="P158">
        <v>99.605999999999995</v>
      </c>
      <c r="Q158">
        <v>118.6131</v>
      </c>
      <c r="R158">
        <v>3.9990999999999999</v>
      </c>
      <c r="S158">
        <v>33.619999999999997</v>
      </c>
      <c r="T158">
        <v>34.74</v>
      </c>
      <c r="U158">
        <v>339.11</v>
      </c>
      <c r="V158">
        <v>566.29</v>
      </c>
      <c r="W158">
        <v>1562.18</v>
      </c>
      <c r="X158">
        <v>742.37</v>
      </c>
      <c r="Y158">
        <v>40405.99</v>
      </c>
      <c r="Z158">
        <v>15.989599999999999</v>
      </c>
      <c r="AA158">
        <v>15.944599999999999</v>
      </c>
      <c r="AB158">
        <v>16.3264</v>
      </c>
      <c r="AC158">
        <v>15.7357</v>
      </c>
      <c r="AD158">
        <v>15.2468</v>
      </c>
      <c r="AE158">
        <v>14.5905</v>
      </c>
      <c r="AF158">
        <v>14.13</v>
      </c>
      <c r="AG158">
        <v>1.0831</v>
      </c>
      <c r="AH158">
        <v>121.14</v>
      </c>
      <c r="AI158">
        <v>1.4244000000000001</v>
      </c>
      <c r="AJ158">
        <v>1.3976</v>
      </c>
      <c r="AK158">
        <v>8.5789000000000009</v>
      </c>
      <c r="AL158">
        <v>1.0230999999999999</v>
      </c>
      <c r="AM158">
        <v>186.63</v>
      </c>
      <c r="AN158">
        <v>88.88</v>
      </c>
      <c r="AO158">
        <v>100.05</v>
      </c>
      <c r="AP158">
        <v>94.68</v>
      </c>
      <c r="AQ158">
        <v>89.77</v>
      </c>
    </row>
    <row r="159" spans="1:43" x14ac:dyDescent="0.25">
      <c r="A159" s="7">
        <v>42429</v>
      </c>
      <c r="B159">
        <v>0.31540000000000001</v>
      </c>
      <c r="C159">
        <v>0.45400000000000001</v>
      </c>
      <c r="D159">
        <v>-0.59799999999999998</v>
      </c>
      <c r="E159">
        <v>-9.7000000000000003E-2</v>
      </c>
      <c r="F159">
        <v>0.77370000000000005</v>
      </c>
      <c r="G159">
        <v>0.37490000000000001</v>
      </c>
      <c r="H159">
        <v>-0.57399999999999995</v>
      </c>
      <c r="I159">
        <v>-0.24</v>
      </c>
      <c r="J159">
        <v>1.7346999999999999</v>
      </c>
      <c r="K159">
        <v>1.3354999999999999</v>
      </c>
      <c r="L159">
        <v>0.106</v>
      </c>
      <c r="M159">
        <v>-6.5000000000000002E-2</v>
      </c>
      <c r="N159">
        <v>20.55</v>
      </c>
      <c r="O159">
        <v>459.649</v>
      </c>
      <c r="P159">
        <v>98.210999999999999</v>
      </c>
      <c r="Q159">
        <v>119.09269999999999</v>
      </c>
      <c r="R159">
        <v>4.0163000000000002</v>
      </c>
      <c r="S159">
        <v>33.75</v>
      </c>
      <c r="T159">
        <v>35.97</v>
      </c>
      <c r="U159">
        <v>333.86</v>
      </c>
      <c r="V159">
        <v>588.91</v>
      </c>
      <c r="W159">
        <v>1547.17</v>
      </c>
      <c r="X159">
        <v>740.33</v>
      </c>
      <c r="Y159">
        <v>42793.86</v>
      </c>
      <c r="Z159">
        <v>15.758699999999999</v>
      </c>
      <c r="AA159">
        <v>15.608499999999999</v>
      </c>
      <c r="AB159">
        <v>16.279800000000002</v>
      </c>
      <c r="AC159">
        <v>15.2506</v>
      </c>
      <c r="AD159">
        <v>14.6884</v>
      </c>
      <c r="AE159">
        <v>14.2143</v>
      </c>
      <c r="AF159">
        <v>14.13</v>
      </c>
      <c r="AG159">
        <v>1.0872999999999999</v>
      </c>
      <c r="AH159">
        <v>112.69</v>
      </c>
      <c r="AI159">
        <v>1.3916999999999999</v>
      </c>
      <c r="AJ159">
        <v>1.3540000000000001</v>
      </c>
      <c r="AK159">
        <v>8.5671999999999997</v>
      </c>
      <c r="AL159">
        <v>0.99839999999999995</v>
      </c>
      <c r="AM159">
        <v>186.63</v>
      </c>
      <c r="AN159">
        <v>88.36</v>
      </c>
      <c r="AO159">
        <v>99</v>
      </c>
      <c r="AP159">
        <v>94.64</v>
      </c>
      <c r="AQ159">
        <v>91.34</v>
      </c>
    </row>
    <row r="160" spans="1:43" x14ac:dyDescent="0.25">
      <c r="A160" s="7">
        <v>42460</v>
      </c>
      <c r="B160">
        <v>0.1983</v>
      </c>
      <c r="C160">
        <v>0.45100000000000001</v>
      </c>
      <c r="D160">
        <v>-0.58899999999999997</v>
      </c>
      <c r="E160">
        <v>-9.4E-2</v>
      </c>
      <c r="F160">
        <v>0.72109999999999996</v>
      </c>
      <c r="G160">
        <v>0.43680000000000002</v>
      </c>
      <c r="H160">
        <v>-0.48899999999999999</v>
      </c>
      <c r="I160">
        <v>-0.19</v>
      </c>
      <c r="J160">
        <v>1.7686999999999999</v>
      </c>
      <c r="K160">
        <v>1.4137</v>
      </c>
      <c r="L160">
        <v>0.152</v>
      </c>
      <c r="M160">
        <v>-3.5000000000000003E-2</v>
      </c>
      <c r="N160">
        <v>13.95</v>
      </c>
      <c r="O160">
        <v>365.74299999999999</v>
      </c>
      <c r="P160">
        <v>94.585999999999999</v>
      </c>
      <c r="Q160">
        <v>116.15779999999999</v>
      </c>
      <c r="R160">
        <v>3.5928</v>
      </c>
      <c r="S160">
        <v>38.340000000000003</v>
      </c>
      <c r="T160">
        <v>39.6</v>
      </c>
      <c r="U160">
        <v>350.46</v>
      </c>
      <c r="V160">
        <v>632.41</v>
      </c>
      <c r="W160">
        <v>1648.12</v>
      </c>
      <c r="X160">
        <v>836.8</v>
      </c>
      <c r="Y160">
        <v>50055.27</v>
      </c>
      <c r="Z160">
        <v>13.9642</v>
      </c>
      <c r="AA160">
        <v>13.918699999999999</v>
      </c>
      <c r="AB160">
        <v>14.2309</v>
      </c>
      <c r="AC160">
        <v>13.894399999999999</v>
      </c>
      <c r="AD160">
        <v>13.7811</v>
      </c>
      <c r="AE160">
        <v>13.802099999999999</v>
      </c>
      <c r="AF160">
        <v>14.13</v>
      </c>
      <c r="AG160">
        <v>1.1379999999999999</v>
      </c>
      <c r="AH160">
        <v>112.57</v>
      </c>
      <c r="AI160">
        <v>1.4359999999999999</v>
      </c>
      <c r="AJ160">
        <v>1.3004</v>
      </c>
      <c r="AK160">
        <v>8.1178000000000008</v>
      </c>
      <c r="AL160">
        <v>0.96179999999999999</v>
      </c>
      <c r="AM160">
        <v>186.63</v>
      </c>
      <c r="AN160">
        <v>97.52</v>
      </c>
      <c r="AO160">
        <v>99.58</v>
      </c>
      <c r="AP160">
        <v>93.93</v>
      </c>
      <c r="AQ160">
        <v>97.93</v>
      </c>
    </row>
    <row r="161" spans="1:43" x14ac:dyDescent="0.25">
      <c r="A161" s="7">
        <v>42489</v>
      </c>
      <c r="B161">
        <v>0.20849999999999999</v>
      </c>
      <c r="C161">
        <v>0.436</v>
      </c>
      <c r="D161">
        <v>-0.61799999999999999</v>
      </c>
      <c r="E161">
        <v>-0.38500000000000001</v>
      </c>
      <c r="F161">
        <v>0.78159999999999996</v>
      </c>
      <c r="G161">
        <v>0.52400000000000002</v>
      </c>
      <c r="H161">
        <v>-0.48499999999999999</v>
      </c>
      <c r="I161">
        <v>-0.24099999999999999</v>
      </c>
      <c r="J161">
        <v>1.8332999999999999</v>
      </c>
      <c r="K161">
        <v>1.595</v>
      </c>
      <c r="L161">
        <v>0.27100000000000002</v>
      </c>
      <c r="M161">
        <v>-8.3000000000000004E-2</v>
      </c>
      <c r="N161">
        <v>15.7</v>
      </c>
      <c r="O161">
        <v>339.75599999999997</v>
      </c>
      <c r="P161">
        <v>93.081999999999994</v>
      </c>
      <c r="Q161">
        <v>114.8381</v>
      </c>
      <c r="R161">
        <v>3.4350999999999998</v>
      </c>
      <c r="S161">
        <v>45.92</v>
      </c>
      <c r="T161">
        <v>48.13</v>
      </c>
      <c r="U161">
        <v>367.1</v>
      </c>
      <c r="V161">
        <v>682.39</v>
      </c>
      <c r="W161">
        <v>1670.8</v>
      </c>
      <c r="X161">
        <v>840.19</v>
      </c>
      <c r="Y161">
        <v>53910.51</v>
      </c>
      <c r="Z161">
        <v>12.4838</v>
      </c>
      <c r="AA161">
        <v>12.429399999999999</v>
      </c>
      <c r="AB161">
        <v>12.6487</v>
      </c>
      <c r="AC161">
        <v>12.5015</v>
      </c>
      <c r="AD161">
        <v>12.632400000000001</v>
      </c>
      <c r="AE161">
        <v>13.2</v>
      </c>
      <c r="AF161">
        <v>14.13</v>
      </c>
      <c r="AG161">
        <v>1.1451</v>
      </c>
      <c r="AH161">
        <v>106.5</v>
      </c>
      <c r="AI161">
        <v>1.4612000000000001</v>
      </c>
      <c r="AJ161">
        <v>1.2556</v>
      </c>
      <c r="AK161">
        <v>8.0324000000000009</v>
      </c>
      <c r="AL161">
        <v>0.95989999999999998</v>
      </c>
      <c r="AM161">
        <v>186.63</v>
      </c>
      <c r="AN161">
        <v>96.73</v>
      </c>
      <c r="AO161">
        <v>99.6</v>
      </c>
      <c r="AP161">
        <v>93.88</v>
      </c>
      <c r="AQ161">
        <v>94.73</v>
      </c>
    </row>
    <row r="162" spans="1:43" x14ac:dyDescent="0.25">
      <c r="A162" s="7">
        <v>42521</v>
      </c>
      <c r="B162">
        <v>0.28489999999999999</v>
      </c>
      <c r="C162">
        <v>0.46</v>
      </c>
      <c r="D162">
        <v>-0.59699999999999998</v>
      </c>
      <c r="E162">
        <v>-0.29399999999999998</v>
      </c>
      <c r="F162">
        <v>0.877</v>
      </c>
      <c r="G162">
        <v>0.42759999999999998</v>
      </c>
      <c r="H162">
        <v>-0.51700000000000002</v>
      </c>
      <c r="I162">
        <v>-0.248</v>
      </c>
      <c r="J162">
        <v>1.8458000000000001</v>
      </c>
      <c r="K162">
        <v>1.4279999999999999</v>
      </c>
      <c r="L162">
        <v>0.13800000000000001</v>
      </c>
      <c r="M162">
        <v>-0.12</v>
      </c>
      <c r="N162">
        <v>14.19</v>
      </c>
      <c r="O162">
        <v>362.95299999999997</v>
      </c>
      <c r="P162">
        <v>95.891000000000005</v>
      </c>
      <c r="Q162">
        <v>116.7221</v>
      </c>
      <c r="R162">
        <v>3.6109</v>
      </c>
      <c r="S162">
        <v>49.1</v>
      </c>
      <c r="T162">
        <v>49.69</v>
      </c>
      <c r="U162">
        <v>361.29</v>
      </c>
      <c r="V162">
        <v>674.03</v>
      </c>
      <c r="W162">
        <v>1674.61</v>
      </c>
      <c r="X162">
        <v>807.45</v>
      </c>
      <c r="Y162">
        <v>48471.71</v>
      </c>
      <c r="Z162">
        <v>12.941599999999999</v>
      </c>
      <c r="AA162">
        <v>12.873799999999999</v>
      </c>
      <c r="AB162">
        <v>13.156499999999999</v>
      </c>
      <c r="AC162">
        <v>12.7965</v>
      </c>
      <c r="AD162">
        <v>12.775499999999999</v>
      </c>
      <c r="AE162">
        <v>13.163600000000001</v>
      </c>
      <c r="AF162">
        <v>14.13</v>
      </c>
      <c r="AG162">
        <v>1.1132</v>
      </c>
      <c r="AH162">
        <v>110.73</v>
      </c>
      <c r="AI162">
        <v>1.4482999999999999</v>
      </c>
      <c r="AJ162">
        <v>1.3092999999999999</v>
      </c>
      <c r="AK162">
        <v>8.3332999999999995</v>
      </c>
      <c r="AL162">
        <v>0.99390000000000001</v>
      </c>
      <c r="AM162">
        <v>186.63</v>
      </c>
      <c r="AN162">
        <v>100.51</v>
      </c>
      <c r="AO162">
        <v>99.99</v>
      </c>
      <c r="AP162">
        <v>93.58</v>
      </c>
      <c r="AQ162">
        <v>92.91</v>
      </c>
    </row>
    <row r="163" spans="1:43" x14ac:dyDescent="0.25">
      <c r="A163" s="7">
        <v>42551</v>
      </c>
      <c r="B163">
        <v>0.25869999999999999</v>
      </c>
      <c r="C163">
        <v>0.34399999999999997</v>
      </c>
      <c r="D163">
        <v>-0.68200000000000005</v>
      </c>
      <c r="E163">
        <v>-0.28000000000000003</v>
      </c>
      <c r="F163">
        <v>0.58169999999999999</v>
      </c>
      <c r="G163">
        <v>9.0800000000000006E-2</v>
      </c>
      <c r="H163">
        <v>-0.66300000000000003</v>
      </c>
      <c r="I163">
        <v>-0.3</v>
      </c>
      <c r="J163">
        <v>1.4697</v>
      </c>
      <c r="K163">
        <v>0.86450000000000005</v>
      </c>
      <c r="L163">
        <v>-0.13100000000000001</v>
      </c>
      <c r="M163">
        <v>-0.222</v>
      </c>
      <c r="N163">
        <v>15.63</v>
      </c>
      <c r="O163">
        <v>316.97199999999998</v>
      </c>
      <c r="P163">
        <v>96.143000000000001</v>
      </c>
      <c r="Q163">
        <v>117.6835</v>
      </c>
      <c r="R163">
        <v>3.2126000000000001</v>
      </c>
      <c r="S163">
        <v>48.33</v>
      </c>
      <c r="T163">
        <v>49.68</v>
      </c>
      <c r="U163">
        <v>362.45</v>
      </c>
      <c r="V163">
        <v>683.13</v>
      </c>
      <c r="W163">
        <v>1653.23</v>
      </c>
      <c r="X163">
        <v>834.1</v>
      </c>
      <c r="Y163">
        <v>51526.93</v>
      </c>
      <c r="Z163">
        <v>12.209199999999999</v>
      </c>
      <c r="AA163">
        <v>12.1615</v>
      </c>
      <c r="AB163">
        <v>12.3629</v>
      </c>
      <c r="AC163">
        <v>12.3271</v>
      </c>
      <c r="AD163">
        <v>12.6058</v>
      </c>
      <c r="AE163">
        <v>13.34</v>
      </c>
      <c r="AF163">
        <v>14.13</v>
      </c>
      <c r="AG163">
        <v>1.1106</v>
      </c>
      <c r="AH163">
        <v>103.2</v>
      </c>
      <c r="AI163">
        <v>1.3310999999999999</v>
      </c>
      <c r="AJ163">
        <v>1.2924</v>
      </c>
      <c r="AK163">
        <v>8.4596999999999998</v>
      </c>
      <c r="AL163">
        <v>0.97599999999999998</v>
      </c>
      <c r="AM163">
        <v>186.63</v>
      </c>
      <c r="AN163">
        <v>102.15</v>
      </c>
      <c r="AO163">
        <v>98.64</v>
      </c>
      <c r="AP163">
        <v>93.78</v>
      </c>
      <c r="AQ163">
        <v>94.23</v>
      </c>
    </row>
    <row r="164" spans="1:43" x14ac:dyDescent="0.25">
      <c r="A164" s="7">
        <v>42580</v>
      </c>
      <c r="B164">
        <v>0.25359999999999999</v>
      </c>
      <c r="C164">
        <v>0.318</v>
      </c>
      <c r="D164">
        <v>-0.74199999999999999</v>
      </c>
      <c r="E164">
        <v>-0.29399999999999998</v>
      </c>
      <c r="F164">
        <v>0.65539999999999998</v>
      </c>
      <c r="G164">
        <v>0.1042</v>
      </c>
      <c r="H164">
        <v>-0.63200000000000001</v>
      </c>
      <c r="I164">
        <v>-0.26</v>
      </c>
      <c r="J164">
        <v>1.4531000000000001</v>
      </c>
      <c r="K164">
        <v>0.68389999999999995</v>
      </c>
      <c r="L164">
        <v>-0.121</v>
      </c>
      <c r="M164">
        <v>-0.19500000000000001</v>
      </c>
      <c r="N164">
        <v>11.87</v>
      </c>
      <c r="O164">
        <v>291.178</v>
      </c>
      <c r="P164">
        <v>95.53</v>
      </c>
      <c r="Q164">
        <v>117.6327</v>
      </c>
      <c r="R164">
        <v>3.2490999999999999</v>
      </c>
      <c r="S164">
        <v>41.6</v>
      </c>
      <c r="T164">
        <v>42.46</v>
      </c>
      <c r="U164">
        <v>344.35</v>
      </c>
      <c r="V164">
        <v>703.22</v>
      </c>
      <c r="W164">
        <v>1721.79</v>
      </c>
      <c r="X164">
        <v>873.47</v>
      </c>
      <c r="Y164">
        <v>57308.21</v>
      </c>
      <c r="Z164">
        <v>11.9937</v>
      </c>
      <c r="AA164">
        <v>11.9922</v>
      </c>
      <c r="AB164">
        <v>12.0753</v>
      </c>
      <c r="AC164">
        <v>12.151400000000001</v>
      </c>
      <c r="AD164">
        <v>12.481299999999999</v>
      </c>
      <c r="AE164">
        <v>13.2562</v>
      </c>
      <c r="AF164">
        <v>14.13</v>
      </c>
      <c r="AG164">
        <v>1.1173999999999999</v>
      </c>
      <c r="AH164">
        <v>102.06</v>
      </c>
      <c r="AI164">
        <v>1.323</v>
      </c>
      <c r="AJ164">
        <v>1.3029999999999999</v>
      </c>
      <c r="AK164">
        <v>8.5569000000000006</v>
      </c>
      <c r="AL164">
        <v>0.96950000000000003</v>
      </c>
      <c r="AM164">
        <v>186.63</v>
      </c>
      <c r="AN164">
        <v>104.43</v>
      </c>
      <c r="AO164">
        <v>99.32</v>
      </c>
      <c r="AP164">
        <v>93.52</v>
      </c>
      <c r="AQ164">
        <v>95.2</v>
      </c>
    </row>
    <row r="165" spans="1:43" x14ac:dyDescent="0.25">
      <c r="A165" s="7">
        <v>42613</v>
      </c>
      <c r="B165">
        <v>0.32979999999999998</v>
      </c>
      <c r="C165">
        <v>0.23400000000000001</v>
      </c>
      <c r="D165">
        <v>-0.81899999999999995</v>
      </c>
      <c r="E165">
        <v>-0.252</v>
      </c>
      <c r="F165">
        <v>0.80530000000000002</v>
      </c>
      <c r="G165">
        <v>0.14019999999999999</v>
      </c>
      <c r="H165">
        <v>-0.625</v>
      </c>
      <c r="I165">
        <v>-0.20100000000000001</v>
      </c>
      <c r="J165">
        <v>1.58</v>
      </c>
      <c r="K165">
        <v>0.64180000000000004</v>
      </c>
      <c r="L165">
        <v>-6.6000000000000003E-2</v>
      </c>
      <c r="M165">
        <v>-7.0999999999999994E-2</v>
      </c>
      <c r="N165">
        <v>13.42</v>
      </c>
      <c r="O165">
        <v>259.59899999999999</v>
      </c>
      <c r="P165">
        <v>96.022000000000006</v>
      </c>
      <c r="Q165">
        <v>116.74590000000001</v>
      </c>
      <c r="R165">
        <v>3.2263000000000002</v>
      </c>
      <c r="S165">
        <v>44.7</v>
      </c>
      <c r="T165">
        <v>47.04</v>
      </c>
      <c r="U165">
        <v>338.42</v>
      </c>
      <c r="V165">
        <v>711.08</v>
      </c>
      <c r="W165">
        <v>1719.52</v>
      </c>
      <c r="X165">
        <v>893.68</v>
      </c>
      <c r="Y165">
        <v>57901.11</v>
      </c>
      <c r="Z165">
        <v>12.1127</v>
      </c>
      <c r="AA165">
        <v>12.07</v>
      </c>
      <c r="AB165">
        <v>12.266</v>
      </c>
      <c r="AC165">
        <v>12.127700000000001</v>
      </c>
      <c r="AD165">
        <v>12.3688</v>
      </c>
      <c r="AE165">
        <v>13.1021</v>
      </c>
      <c r="AF165">
        <v>14.13</v>
      </c>
      <c r="AG165">
        <v>1.1157999999999999</v>
      </c>
      <c r="AH165">
        <v>103.43</v>
      </c>
      <c r="AI165">
        <v>1.3138000000000001</v>
      </c>
      <c r="AJ165">
        <v>1.3105</v>
      </c>
      <c r="AK165">
        <v>8.5604999999999993</v>
      </c>
      <c r="AL165">
        <v>0.9839</v>
      </c>
      <c r="AM165">
        <v>186.63</v>
      </c>
      <c r="AN165">
        <v>108.37</v>
      </c>
      <c r="AO165">
        <v>97.5</v>
      </c>
      <c r="AP165">
        <v>93.23</v>
      </c>
      <c r="AQ165">
        <v>96.17</v>
      </c>
    </row>
    <row r="166" spans="1:43" x14ac:dyDescent="0.25">
      <c r="A166" s="7">
        <v>42643</v>
      </c>
      <c r="B166">
        <v>0.27389999999999998</v>
      </c>
      <c r="C166">
        <v>0.23699999999999999</v>
      </c>
      <c r="D166">
        <v>-0.79800000000000004</v>
      </c>
      <c r="E166">
        <v>-0.379</v>
      </c>
      <c r="F166">
        <v>0.76190000000000002</v>
      </c>
      <c r="G166">
        <v>9.9699999999999997E-2</v>
      </c>
      <c r="H166">
        <v>-0.69299999999999995</v>
      </c>
      <c r="I166">
        <v>-0.29199999999999998</v>
      </c>
      <c r="J166">
        <v>1.5944</v>
      </c>
      <c r="K166">
        <v>0.74529999999999996</v>
      </c>
      <c r="L166">
        <v>-0.122</v>
      </c>
      <c r="M166">
        <v>-9.4E-2</v>
      </c>
      <c r="N166">
        <v>13.29</v>
      </c>
      <c r="O166">
        <v>273.00400000000002</v>
      </c>
      <c r="P166">
        <v>95.462999999999994</v>
      </c>
      <c r="Q166">
        <v>118.2525</v>
      </c>
      <c r="R166">
        <v>3.2612999999999999</v>
      </c>
      <c r="S166">
        <v>48.24</v>
      </c>
      <c r="T166">
        <v>49.06</v>
      </c>
      <c r="U166">
        <v>329.97</v>
      </c>
      <c r="V166">
        <v>720.15</v>
      </c>
      <c r="W166">
        <v>1725.67</v>
      </c>
      <c r="X166">
        <v>903.46</v>
      </c>
      <c r="Y166">
        <v>58367.05</v>
      </c>
      <c r="Z166">
        <v>11.655799999999999</v>
      </c>
      <c r="AA166">
        <v>11.596399999999999</v>
      </c>
      <c r="AB166">
        <v>11.78</v>
      </c>
      <c r="AC166">
        <v>11.58</v>
      </c>
      <c r="AD166">
        <v>11.722799999999999</v>
      </c>
      <c r="AE166">
        <v>12.4741</v>
      </c>
      <c r="AF166">
        <v>14.13</v>
      </c>
      <c r="AG166">
        <v>1.1234999999999999</v>
      </c>
      <c r="AH166">
        <v>101.35</v>
      </c>
      <c r="AI166">
        <v>1.2971999999999999</v>
      </c>
      <c r="AJ166">
        <v>1.3127</v>
      </c>
      <c r="AK166">
        <v>8.5739000000000001</v>
      </c>
      <c r="AL166">
        <v>0.97140000000000004</v>
      </c>
      <c r="AM166">
        <v>186.63</v>
      </c>
      <c r="AN166">
        <v>105.65</v>
      </c>
      <c r="AO166">
        <v>98.52</v>
      </c>
      <c r="AP166">
        <v>93.29</v>
      </c>
      <c r="AQ166">
        <v>93.38</v>
      </c>
    </row>
    <row r="167" spans="1:43" x14ac:dyDescent="0.25">
      <c r="A167" s="7">
        <v>42674</v>
      </c>
      <c r="B167">
        <v>0.29930000000000001</v>
      </c>
      <c r="C167">
        <v>0.17299999999999999</v>
      </c>
      <c r="D167">
        <v>-0.85199999999999998</v>
      </c>
      <c r="E167">
        <v>-0.32700000000000001</v>
      </c>
      <c r="F167">
        <v>0.84089999999999998</v>
      </c>
      <c r="G167">
        <v>0.25700000000000001</v>
      </c>
      <c r="H167">
        <v>-0.626</v>
      </c>
      <c r="I167">
        <v>-0.24399999999999999</v>
      </c>
      <c r="J167">
        <v>1.8254999999999999</v>
      </c>
      <c r="K167">
        <v>1.2434000000000001</v>
      </c>
      <c r="L167">
        <v>0.161</v>
      </c>
      <c r="M167">
        <v>-5.2999999999999999E-2</v>
      </c>
      <c r="N167">
        <v>17.059999999999999</v>
      </c>
      <c r="O167">
        <v>273.95999999999998</v>
      </c>
      <c r="P167">
        <v>98.444999999999993</v>
      </c>
      <c r="Q167">
        <v>118.2488</v>
      </c>
      <c r="R167">
        <v>3.1939000000000002</v>
      </c>
      <c r="S167">
        <v>46.86</v>
      </c>
      <c r="T167">
        <v>48.3</v>
      </c>
      <c r="U167">
        <v>329.15</v>
      </c>
      <c r="V167">
        <v>713.27</v>
      </c>
      <c r="W167">
        <v>1690.92</v>
      </c>
      <c r="X167">
        <v>905.09</v>
      </c>
      <c r="Y167">
        <v>64924.52</v>
      </c>
      <c r="Z167">
        <v>11.3825</v>
      </c>
      <c r="AA167">
        <v>11.326599999999999</v>
      </c>
      <c r="AB167">
        <v>11.540699999999999</v>
      </c>
      <c r="AC167">
        <v>11.3718</v>
      </c>
      <c r="AD167">
        <v>11.597300000000001</v>
      </c>
      <c r="AE167">
        <v>12.401400000000001</v>
      </c>
      <c r="AF167">
        <v>13.88</v>
      </c>
      <c r="AG167">
        <v>1.0981000000000001</v>
      </c>
      <c r="AH167">
        <v>104.82</v>
      </c>
      <c r="AI167">
        <v>1.2242</v>
      </c>
      <c r="AJ167">
        <v>1.3409</v>
      </c>
      <c r="AK167">
        <v>9.0320999999999998</v>
      </c>
      <c r="AL167">
        <v>0.98899999999999999</v>
      </c>
      <c r="AM167">
        <v>186.63</v>
      </c>
      <c r="AN167">
        <v>105.08</v>
      </c>
      <c r="AO167">
        <v>97.15</v>
      </c>
      <c r="AP167">
        <v>92.91</v>
      </c>
      <c r="AQ167">
        <v>92.61</v>
      </c>
    </row>
    <row r="168" spans="1:43" x14ac:dyDescent="0.25">
      <c r="A168" s="7">
        <v>42704</v>
      </c>
      <c r="B168">
        <v>0.47710000000000002</v>
      </c>
      <c r="C168">
        <v>0.222</v>
      </c>
      <c r="D168">
        <v>-0.81399999999999995</v>
      </c>
      <c r="E168">
        <v>-0.36599999999999999</v>
      </c>
      <c r="F168">
        <v>1.113</v>
      </c>
      <c r="G168">
        <v>0.1222</v>
      </c>
      <c r="H168">
        <v>-0.73499999999999999</v>
      </c>
      <c r="I168">
        <v>-0.16200000000000001</v>
      </c>
      <c r="J168">
        <v>2.3809</v>
      </c>
      <c r="K168">
        <v>1.4153</v>
      </c>
      <c r="L168">
        <v>0.27300000000000002</v>
      </c>
      <c r="M168">
        <v>1.9E-2</v>
      </c>
      <c r="N168">
        <v>13.33</v>
      </c>
      <c r="O168">
        <v>297.31200000000001</v>
      </c>
      <c r="P168">
        <v>101.5</v>
      </c>
      <c r="Q168">
        <v>121.6163</v>
      </c>
      <c r="R168">
        <v>3.3856999999999999</v>
      </c>
      <c r="S168">
        <v>49.44</v>
      </c>
      <c r="T168">
        <v>50.47</v>
      </c>
      <c r="U168">
        <v>334.39</v>
      </c>
      <c r="V168">
        <v>800.59</v>
      </c>
      <c r="W168">
        <v>1712.09</v>
      </c>
      <c r="X168">
        <v>862.83</v>
      </c>
      <c r="Y168">
        <v>61906.36</v>
      </c>
      <c r="Z168">
        <v>11.945399999999999</v>
      </c>
      <c r="AA168">
        <v>11.859500000000001</v>
      </c>
      <c r="AB168">
        <v>12.067500000000001</v>
      </c>
      <c r="AC168">
        <v>11.6388</v>
      </c>
      <c r="AD168">
        <v>11.5885</v>
      </c>
      <c r="AE168">
        <v>12.148999999999999</v>
      </c>
      <c r="AF168">
        <v>13.88</v>
      </c>
      <c r="AG168">
        <v>1.0589</v>
      </c>
      <c r="AH168">
        <v>114.46</v>
      </c>
      <c r="AI168">
        <v>1.2505999999999999</v>
      </c>
      <c r="AJ168">
        <v>1.3436999999999999</v>
      </c>
      <c r="AK168">
        <v>9.2303999999999995</v>
      </c>
      <c r="AL168">
        <v>1.0173000000000001</v>
      </c>
      <c r="AM168">
        <v>186.63</v>
      </c>
      <c r="AN168">
        <v>100.77</v>
      </c>
      <c r="AO168">
        <v>98.11</v>
      </c>
      <c r="AP168">
        <v>92.95</v>
      </c>
      <c r="AQ168">
        <v>92.4</v>
      </c>
    </row>
    <row r="169" spans="1:43" x14ac:dyDescent="0.25">
      <c r="A169" s="7">
        <v>42734</v>
      </c>
      <c r="B169">
        <v>0.49740000000000001</v>
      </c>
      <c r="C169">
        <v>6.0999999999999999E-2</v>
      </c>
      <c r="D169">
        <v>-0.98599999999999999</v>
      </c>
      <c r="E169">
        <v>-0.42</v>
      </c>
      <c r="F169">
        <v>1.1882999999999999</v>
      </c>
      <c r="G169">
        <v>4.4299999999999999E-2</v>
      </c>
      <c r="H169">
        <v>-0.8</v>
      </c>
      <c r="I169">
        <v>-0.185</v>
      </c>
      <c r="J169">
        <v>2.4443000000000001</v>
      </c>
      <c r="K169">
        <v>1.2352000000000001</v>
      </c>
      <c r="L169">
        <v>0.20399999999999999</v>
      </c>
      <c r="M169">
        <v>4.1000000000000002E-2</v>
      </c>
      <c r="N169">
        <v>14.04</v>
      </c>
      <c r="O169">
        <v>280.75799999999998</v>
      </c>
      <c r="P169">
        <v>102.21</v>
      </c>
      <c r="Q169">
        <v>123.26479999999999</v>
      </c>
      <c r="R169">
        <v>3.25</v>
      </c>
      <c r="S169">
        <v>53.72</v>
      </c>
      <c r="T169">
        <v>56.82</v>
      </c>
      <c r="U169">
        <v>338.75</v>
      </c>
      <c r="V169">
        <v>803.85</v>
      </c>
      <c r="W169">
        <v>1751.22</v>
      </c>
      <c r="X169">
        <v>862.27</v>
      </c>
      <c r="Y169">
        <v>60227.28</v>
      </c>
      <c r="Z169">
        <v>11.609400000000001</v>
      </c>
      <c r="AA169">
        <v>11.4923</v>
      </c>
      <c r="AB169">
        <v>11.66</v>
      </c>
      <c r="AC169">
        <v>11.2019</v>
      </c>
      <c r="AD169">
        <v>11.051600000000001</v>
      </c>
      <c r="AE169">
        <v>11.5357</v>
      </c>
      <c r="AF169">
        <v>13.63</v>
      </c>
      <c r="AG169">
        <v>1.0517000000000001</v>
      </c>
      <c r="AH169">
        <v>116.96</v>
      </c>
      <c r="AI169">
        <v>1.234</v>
      </c>
      <c r="AJ169">
        <v>1.3441000000000001</v>
      </c>
      <c r="AK169">
        <v>9.1060999999999996</v>
      </c>
      <c r="AL169">
        <v>1.0189999999999999</v>
      </c>
      <c r="AM169">
        <v>186.63</v>
      </c>
      <c r="AN169">
        <v>90</v>
      </c>
      <c r="AO169">
        <v>99.74</v>
      </c>
      <c r="AP169">
        <v>92.69</v>
      </c>
      <c r="AQ169">
        <v>93.43</v>
      </c>
    </row>
    <row r="170" spans="1:43" x14ac:dyDescent="0.25">
      <c r="A170" s="7">
        <v>42766</v>
      </c>
      <c r="B170">
        <v>0.51270000000000004</v>
      </c>
      <c r="C170">
        <v>0.217</v>
      </c>
      <c r="D170">
        <v>-0.82799999999999996</v>
      </c>
      <c r="E170">
        <v>-0.27900000000000003</v>
      </c>
      <c r="F170">
        <v>1.2043999999999999</v>
      </c>
      <c r="G170">
        <v>0.12920000000000001</v>
      </c>
      <c r="H170">
        <v>-0.71</v>
      </c>
      <c r="I170">
        <v>-0.20899999999999999</v>
      </c>
      <c r="J170">
        <v>2.4531000000000001</v>
      </c>
      <c r="K170">
        <v>1.4148000000000001</v>
      </c>
      <c r="L170">
        <v>0.434</v>
      </c>
      <c r="M170">
        <v>0.08</v>
      </c>
      <c r="N170">
        <v>11.99</v>
      </c>
      <c r="O170">
        <v>250.93799999999999</v>
      </c>
      <c r="P170">
        <v>99.512</v>
      </c>
      <c r="Q170">
        <v>123.99420000000001</v>
      </c>
      <c r="R170">
        <v>3.1486000000000001</v>
      </c>
      <c r="S170">
        <v>52.81</v>
      </c>
      <c r="T170">
        <v>55.7</v>
      </c>
      <c r="U170">
        <v>343.93</v>
      </c>
      <c r="V170">
        <v>844.78</v>
      </c>
      <c r="W170">
        <v>1792.4</v>
      </c>
      <c r="X170">
        <v>909.23</v>
      </c>
      <c r="Y170">
        <v>64670.78</v>
      </c>
      <c r="Z170">
        <v>10.9658</v>
      </c>
      <c r="AA170">
        <v>10.8367</v>
      </c>
      <c r="AB170">
        <v>11.1113</v>
      </c>
      <c r="AC170">
        <v>10.5375</v>
      </c>
      <c r="AD170">
        <v>10.379099999999999</v>
      </c>
      <c r="AE170">
        <v>10.8057</v>
      </c>
      <c r="AF170">
        <v>12.88</v>
      </c>
      <c r="AG170">
        <v>1.0798000000000001</v>
      </c>
      <c r="AH170">
        <v>112.8</v>
      </c>
      <c r="AI170">
        <v>1.2579</v>
      </c>
      <c r="AJ170">
        <v>1.3029999999999999</v>
      </c>
      <c r="AK170">
        <v>8.7423999999999999</v>
      </c>
      <c r="AL170">
        <v>0.98919999999999997</v>
      </c>
      <c r="AM170">
        <v>186.63</v>
      </c>
      <c r="AN170">
        <v>90.76</v>
      </c>
      <c r="AO170">
        <v>100.45</v>
      </c>
      <c r="AP170">
        <v>93.38</v>
      </c>
      <c r="AQ170">
        <v>90.02</v>
      </c>
    </row>
    <row r="171" spans="1:43" x14ac:dyDescent="0.25">
      <c r="A171" s="7">
        <v>42794</v>
      </c>
      <c r="B171">
        <v>0.60419999999999996</v>
      </c>
      <c r="C171">
        <v>0.187</v>
      </c>
      <c r="D171">
        <v>-0.92600000000000005</v>
      </c>
      <c r="E171">
        <v>-0.28499999999999998</v>
      </c>
      <c r="F171">
        <v>1.2601</v>
      </c>
      <c r="G171">
        <v>9.4399999999999998E-2</v>
      </c>
      <c r="H171">
        <v>-0.90900000000000003</v>
      </c>
      <c r="I171">
        <v>-0.27800000000000002</v>
      </c>
      <c r="J171">
        <v>2.3898999999999999</v>
      </c>
      <c r="K171">
        <v>1.1494</v>
      </c>
      <c r="L171">
        <v>0.20599999999999999</v>
      </c>
      <c r="M171">
        <v>4.8000000000000001E-2</v>
      </c>
      <c r="N171">
        <v>12.92</v>
      </c>
      <c r="O171">
        <v>223.73699999999999</v>
      </c>
      <c r="P171">
        <v>101.12</v>
      </c>
      <c r="Q171">
        <v>121.369</v>
      </c>
      <c r="R171">
        <v>3.1097000000000001</v>
      </c>
      <c r="S171">
        <v>54.01</v>
      </c>
      <c r="T171">
        <v>55.59</v>
      </c>
      <c r="U171">
        <v>345.75</v>
      </c>
      <c r="V171">
        <v>834.14</v>
      </c>
      <c r="W171">
        <v>1838.7</v>
      </c>
      <c r="X171">
        <v>936.37</v>
      </c>
      <c r="Y171">
        <v>66662.100000000006</v>
      </c>
      <c r="Z171">
        <v>10.2828</v>
      </c>
      <c r="AA171">
        <v>10.2346</v>
      </c>
      <c r="AB171">
        <v>10.430999999999999</v>
      </c>
      <c r="AC171">
        <v>10.015499999999999</v>
      </c>
      <c r="AD171">
        <v>9.8749000000000002</v>
      </c>
      <c r="AE171">
        <v>10.168100000000001</v>
      </c>
      <c r="AF171">
        <v>12.13</v>
      </c>
      <c r="AG171">
        <v>1.0576000000000001</v>
      </c>
      <c r="AH171">
        <v>112.77</v>
      </c>
      <c r="AI171">
        <v>1.238</v>
      </c>
      <c r="AJ171">
        <v>1.3301000000000001</v>
      </c>
      <c r="AK171">
        <v>9.0365000000000002</v>
      </c>
      <c r="AL171">
        <v>1.0058</v>
      </c>
      <c r="AM171">
        <v>186.63</v>
      </c>
      <c r="AN171">
        <v>88.41</v>
      </c>
      <c r="AO171">
        <v>101.5</v>
      </c>
      <c r="AP171">
        <v>94.58</v>
      </c>
      <c r="AQ171">
        <v>90.36</v>
      </c>
    </row>
    <row r="172" spans="1:43" x14ac:dyDescent="0.25">
      <c r="A172" s="7">
        <v>42825</v>
      </c>
      <c r="B172">
        <v>0.75160000000000005</v>
      </c>
      <c r="C172">
        <v>0.17</v>
      </c>
      <c r="D172">
        <v>-0.91500000000000004</v>
      </c>
      <c r="E172">
        <v>-0.19500000000000001</v>
      </c>
      <c r="F172">
        <v>1.254</v>
      </c>
      <c r="G172">
        <v>0.1179</v>
      </c>
      <c r="H172">
        <v>-0.75</v>
      </c>
      <c r="I172">
        <v>-0.19500000000000001</v>
      </c>
      <c r="J172">
        <v>2.3874</v>
      </c>
      <c r="K172">
        <v>1.1383000000000001</v>
      </c>
      <c r="L172">
        <v>0.32500000000000001</v>
      </c>
      <c r="M172">
        <v>6.5000000000000002E-2</v>
      </c>
      <c r="N172">
        <v>12.37</v>
      </c>
      <c r="O172">
        <v>226.435</v>
      </c>
      <c r="P172">
        <v>100.35</v>
      </c>
      <c r="Q172">
        <v>119.7403</v>
      </c>
      <c r="R172">
        <v>3.1223999999999998</v>
      </c>
      <c r="S172">
        <v>50.6</v>
      </c>
      <c r="T172">
        <v>52.83</v>
      </c>
      <c r="U172">
        <v>333.02</v>
      </c>
      <c r="V172">
        <v>867.41</v>
      </c>
      <c r="W172">
        <v>1853.69</v>
      </c>
      <c r="X172">
        <v>958.37</v>
      </c>
      <c r="Y172">
        <v>64984.07</v>
      </c>
      <c r="Z172">
        <v>10.1494</v>
      </c>
      <c r="AA172">
        <v>10.0549</v>
      </c>
      <c r="AB172">
        <v>10.3088</v>
      </c>
      <c r="AC172">
        <v>9.7562999999999995</v>
      </c>
      <c r="AD172">
        <v>9.5654000000000003</v>
      </c>
      <c r="AE172">
        <v>9.6679999999999993</v>
      </c>
      <c r="AF172">
        <v>12.13</v>
      </c>
      <c r="AG172">
        <v>1.0651999999999999</v>
      </c>
      <c r="AH172">
        <v>111.39</v>
      </c>
      <c r="AI172">
        <v>1.2549999999999999</v>
      </c>
      <c r="AJ172">
        <v>1.3318000000000001</v>
      </c>
      <c r="AK172">
        <v>8.9707000000000008</v>
      </c>
      <c r="AL172">
        <v>1.0025999999999999</v>
      </c>
      <c r="AM172">
        <v>186.63</v>
      </c>
      <c r="AN172">
        <v>99.55</v>
      </c>
      <c r="AO172">
        <v>99.99</v>
      </c>
      <c r="AP172">
        <v>94.54</v>
      </c>
      <c r="AQ172">
        <v>99.05</v>
      </c>
    </row>
    <row r="173" spans="1:43" x14ac:dyDescent="0.25">
      <c r="A173" s="7">
        <v>42853</v>
      </c>
      <c r="B173">
        <v>0.7923</v>
      </c>
      <c r="C173">
        <v>0.20899999999999999</v>
      </c>
      <c r="D173">
        <v>-0.89800000000000002</v>
      </c>
      <c r="E173">
        <v>-0.17599999999999999</v>
      </c>
      <c r="F173">
        <v>1.2619</v>
      </c>
      <c r="G173">
        <v>7.1400000000000005E-2</v>
      </c>
      <c r="H173">
        <v>-0.74</v>
      </c>
      <c r="I173">
        <v>-0.214</v>
      </c>
      <c r="J173">
        <v>2.2801999999999998</v>
      </c>
      <c r="K173">
        <v>1.0833999999999999</v>
      </c>
      <c r="L173">
        <v>0.315</v>
      </c>
      <c r="M173">
        <v>0.01</v>
      </c>
      <c r="N173">
        <v>10.82</v>
      </c>
      <c r="O173">
        <v>217.696</v>
      </c>
      <c r="P173">
        <v>99.05</v>
      </c>
      <c r="Q173">
        <v>118.55110000000001</v>
      </c>
      <c r="R173">
        <v>3.1764999999999999</v>
      </c>
      <c r="S173">
        <v>49.33</v>
      </c>
      <c r="T173">
        <v>51.73</v>
      </c>
      <c r="U173">
        <v>330.75</v>
      </c>
      <c r="V173">
        <v>828.85</v>
      </c>
      <c r="W173">
        <v>1878.28</v>
      </c>
      <c r="X173">
        <v>977.96</v>
      </c>
      <c r="Y173">
        <v>65403.25</v>
      </c>
      <c r="Z173">
        <v>10.3523</v>
      </c>
      <c r="AA173">
        <v>10.225300000000001</v>
      </c>
      <c r="AB173">
        <v>10.591100000000001</v>
      </c>
      <c r="AC173">
        <v>9.8503000000000007</v>
      </c>
      <c r="AD173">
        <v>9.5031999999999996</v>
      </c>
      <c r="AE173">
        <v>9.2899999999999991</v>
      </c>
      <c r="AF173">
        <v>11.13</v>
      </c>
      <c r="AG173">
        <v>1.0894999999999999</v>
      </c>
      <c r="AH173">
        <v>111.49</v>
      </c>
      <c r="AI173">
        <v>1.2950999999999999</v>
      </c>
      <c r="AJ173">
        <v>1.3653</v>
      </c>
      <c r="AK173">
        <v>8.8535000000000004</v>
      </c>
      <c r="AL173">
        <v>0.99460000000000004</v>
      </c>
      <c r="AM173">
        <v>186.63</v>
      </c>
      <c r="AN173">
        <v>92.42</v>
      </c>
      <c r="AO173">
        <v>99.95</v>
      </c>
      <c r="AP173">
        <v>94.4</v>
      </c>
      <c r="AQ173">
        <v>93.2</v>
      </c>
    </row>
    <row r="174" spans="1:43" x14ac:dyDescent="0.25">
      <c r="A174" s="7">
        <v>42886</v>
      </c>
      <c r="B174">
        <v>0.97060000000000002</v>
      </c>
      <c r="C174">
        <v>0.19</v>
      </c>
      <c r="D174">
        <v>-0.93700000000000006</v>
      </c>
      <c r="E174">
        <v>-0.129</v>
      </c>
      <c r="F174">
        <v>1.2818000000000001</v>
      </c>
      <c r="G174">
        <v>0.12429999999999999</v>
      </c>
      <c r="H174">
        <v>-0.72299999999999998</v>
      </c>
      <c r="I174">
        <v>-0.16300000000000001</v>
      </c>
      <c r="J174">
        <v>2.2027999999999999</v>
      </c>
      <c r="K174">
        <v>1.0455000000000001</v>
      </c>
      <c r="L174">
        <v>0.30199999999999999</v>
      </c>
      <c r="M174">
        <v>4.1000000000000002E-2</v>
      </c>
      <c r="N174">
        <v>10.41</v>
      </c>
      <c r="O174">
        <v>235.89500000000001</v>
      </c>
      <c r="P174">
        <v>96.921999999999997</v>
      </c>
      <c r="Q174">
        <v>118.52630000000001</v>
      </c>
      <c r="R174">
        <v>3.2265999999999999</v>
      </c>
      <c r="S174">
        <v>48.32</v>
      </c>
      <c r="T174">
        <v>50.31</v>
      </c>
      <c r="U174">
        <v>346.82</v>
      </c>
      <c r="V174">
        <v>833.92</v>
      </c>
      <c r="W174">
        <v>1911.74</v>
      </c>
      <c r="X174">
        <v>1005.33</v>
      </c>
      <c r="Y174">
        <v>62711.47</v>
      </c>
      <c r="Z174">
        <v>10.8277</v>
      </c>
      <c r="AA174">
        <v>10.661</v>
      </c>
      <c r="AB174">
        <v>11.056100000000001</v>
      </c>
      <c r="AC174">
        <v>10.1031</v>
      </c>
      <c r="AD174">
        <v>9.5646000000000004</v>
      </c>
      <c r="AE174">
        <v>9.1555999999999997</v>
      </c>
      <c r="AF174">
        <v>11.13</v>
      </c>
      <c r="AG174">
        <v>1.1244000000000001</v>
      </c>
      <c r="AH174">
        <v>110.78</v>
      </c>
      <c r="AI174">
        <v>1.2889999999999999</v>
      </c>
      <c r="AJ174">
        <v>1.35</v>
      </c>
      <c r="AK174">
        <v>8.6882000000000001</v>
      </c>
      <c r="AL174">
        <v>0.96779999999999999</v>
      </c>
      <c r="AM174">
        <v>186.63</v>
      </c>
      <c r="AN174">
        <v>105.03</v>
      </c>
      <c r="AO174">
        <v>100.4</v>
      </c>
      <c r="AP174">
        <v>94.26</v>
      </c>
      <c r="AQ174">
        <v>94.63</v>
      </c>
    </row>
    <row r="175" spans="1:43" x14ac:dyDescent="0.25">
      <c r="A175" s="7">
        <v>42916</v>
      </c>
      <c r="B175">
        <v>1.0113000000000001</v>
      </c>
      <c r="C175">
        <v>0.10199999999999999</v>
      </c>
      <c r="D175">
        <v>-0.92400000000000004</v>
      </c>
      <c r="E175">
        <v>-9.1999999999999998E-2</v>
      </c>
      <c r="F175">
        <v>1.3816999999999999</v>
      </c>
      <c r="G175">
        <v>0.34200000000000003</v>
      </c>
      <c r="H175">
        <v>-0.58099999999999996</v>
      </c>
      <c r="I175">
        <v>-0.125</v>
      </c>
      <c r="J175">
        <v>2.3037000000000001</v>
      </c>
      <c r="K175">
        <v>1.2556</v>
      </c>
      <c r="L175">
        <v>0.46500000000000002</v>
      </c>
      <c r="M175">
        <v>7.9000000000000001E-2</v>
      </c>
      <c r="N175">
        <v>11.18</v>
      </c>
      <c r="O175">
        <v>242.38200000000001</v>
      </c>
      <c r="P175">
        <v>95.628</v>
      </c>
      <c r="Q175">
        <v>117.17789999999999</v>
      </c>
      <c r="R175">
        <v>3.3071999999999999</v>
      </c>
      <c r="S175">
        <v>46.04</v>
      </c>
      <c r="T175">
        <v>47.92</v>
      </c>
      <c r="U175">
        <v>372.29</v>
      </c>
      <c r="V175">
        <v>845.99</v>
      </c>
      <c r="W175">
        <v>1916.43</v>
      </c>
      <c r="X175">
        <v>1010.8</v>
      </c>
      <c r="Y175">
        <v>62899.97</v>
      </c>
      <c r="Z175">
        <v>10.590999999999999</v>
      </c>
      <c r="AA175">
        <v>10.4617</v>
      </c>
      <c r="AB175">
        <v>10.888500000000001</v>
      </c>
      <c r="AC175">
        <v>9.8299000000000003</v>
      </c>
      <c r="AD175">
        <v>9.2260000000000009</v>
      </c>
      <c r="AE175">
        <v>8.7622999999999998</v>
      </c>
      <c r="AF175">
        <v>10.14</v>
      </c>
      <c r="AG175">
        <v>1.1426000000000001</v>
      </c>
      <c r="AH175">
        <v>112.39</v>
      </c>
      <c r="AI175">
        <v>1.3025</v>
      </c>
      <c r="AJ175">
        <v>1.2964</v>
      </c>
      <c r="AK175">
        <v>8.4321999999999999</v>
      </c>
      <c r="AL175">
        <v>0.95789999999999997</v>
      </c>
      <c r="AM175">
        <v>186.63</v>
      </c>
      <c r="AN175">
        <v>103.07</v>
      </c>
      <c r="AO175">
        <v>101.3</v>
      </c>
      <c r="AP175">
        <v>94.77</v>
      </c>
      <c r="AQ175">
        <v>94.17</v>
      </c>
    </row>
    <row r="176" spans="1:43" x14ac:dyDescent="0.25">
      <c r="A176" s="7">
        <v>42947</v>
      </c>
      <c r="B176">
        <v>1.0724</v>
      </c>
      <c r="C176">
        <v>0.13300000000000001</v>
      </c>
      <c r="D176">
        <v>-0.73199999999999998</v>
      </c>
      <c r="E176">
        <v>-0.129</v>
      </c>
      <c r="F176">
        <v>1.3491</v>
      </c>
      <c r="G176">
        <v>0.26219999999999999</v>
      </c>
      <c r="H176">
        <v>-0.68799999999999994</v>
      </c>
      <c r="I176">
        <v>-0.11799999999999999</v>
      </c>
      <c r="J176">
        <v>2.2942</v>
      </c>
      <c r="K176">
        <v>1.2283999999999999</v>
      </c>
      <c r="L176">
        <v>0.54100000000000004</v>
      </c>
      <c r="M176">
        <v>7.4999999999999997E-2</v>
      </c>
      <c r="N176">
        <v>10.26</v>
      </c>
      <c r="O176">
        <v>209.899</v>
      </c>
      <c r="P176">
        <v>92.863</v>
      </c>
      <c r="Q176">
        <v>116.4584</v>
      </c>
      <c r="R176">
        <v>3.1265999999999998</v>
      </c>
      <c r="S176">
        <v>50.17</v>
      </c>
      <c r="T176">
        <v>52.65</v>
      </c>
      <c r="U176">
        <v>362.42</v>
      </c>
      <c r="V176">
        <v>863.02</v>
      </c>
      <c r="W176">
        <v>1961.1</v>
      </c>
      <c r="X176">
        <v>1066.23</v>
      </c>
      <c r="Y176">
        <v>65920.36</v>
      </c>
      <c r="Z176">
        <v>9.9848999999999997</v>
      </c>
      <c r="AA176">
        <v>9.8353999999999999</v>
      </c>
      <c r="AB176">
        <v>10.3101</v>
      </c>
      <c r="AC176">
        <v>9.1144999999999996</v>
      </c>
      <c r="AD176">
        <v>8.4861000000000004</v>
      </c>
      <c r="AE176">
        <v>7.9938000000000002</v>
      </c>
      <c r="AF176">
        <v>9.14</v>
      </c>
      <c r="AG176">
        <v>1.1841999999999999</v>
      </c>
      <c r="AH176">
        <v>110.26</v>
      </c>
      <c r="AI176">
        <v>1.3214999999999999</v>
      </c>
      <c r="AJ176">
        <v>1.248</v>
      </c>
      <c r="AK176">
        <v>8.0678000000000001</v>
      </c>
      <c r="AL176">
        <v>0.96689999999999998</v>
      </c>
      <c r="AM176">
        <v>186.63</v>
      </c>
      <c r="AN176">
        <v>107.35</v>
      </c>
      <c r="AO176">
        <v>101.49</v>
      </c>
      <c r="AP176">
        <v>94.84</v>
      </c>
      <c r="AQ176">
        <v>96.46</v>
      </c>
    </row>
    <row r="177" spans="1:43" x14ac:dyDescent="0.25">
      <c r="A177" s="7">
        <v>42978</v>
      </c>
      <c r="B177">
        <v>0.99099999999999999</v>
      </c>
      <c r="C177">
        <v>0.17399999999999999</v>
      </c>
      <c r="D177">
        <v>-0.75600000000000001</v>
      </c>
      <c r="E177">
        <v>-0.20300000000000001</v>
      </c>
      <c r="F177">
        <v>1.3254999999999999</v>
      </c>
      <c r="G177">
        <v>0.16919999999999999</v>
      </c>
      <c r="H177">
        <v>-0.73299999999999998</v>
      </c>
      <c r="I177">
        <v>-0.16600000000000001</v>
      </c>
      <c r="J177">
        <v>2.117</v>
      </c>
      <c r="K177">
        <v>1.0329999999999999</v>
      </c>
      <c r="L177">
        <v>0.36</v>
      </c>
      <c r="M177">
        <v>4.0000000000000001E-3</v>
      </c>
      <c r="N177">
        <v>10.59</v>
      </c>
      <c r="O177">
        <v>195.80099999999999</v>
      </c>
      <c r="P177">
        <v>92.668000000000006</v>
      </c>
      <c r="Q177">
        <v>115.66589999999999</v>
      </c>
      <c r="R177">
        <v>3.1490999999999998</v>
      </c>
      <c r="S177">
        <v>47.23</v>
      </c>
      <c r="T177">
        <v>52.38</v>
      </c>
      <c r="U177">
        <v>339.96</v>
      </c>
      <c r="V177">
        <v>899.57</v>
      </c>
      <c r="W177">
        <v>1959.74</v>
      </c>
      <c r="X177">
        <v>1087.7</v>
      </c>
      <c r="Y177">
        <v>70835.05</v>
      </c>
      <c r="Z177">
        <v>9.9160000000000004</v>
      </c>
      <c r="AA177">
        <v>9.7585999999999995</v>
      </c>
      <c r="AB177">
        <v>10.353199999999999</v>
      </c>
      <c r="AC177">
        <v>9.0256000000000007</v>
      </c>
      <c r="AD177">
        <v>8.3059999999999992</v>
      </c>
      <c r="AE177">
        <v>7.5766999999999998</v>
      </c>
      <c r="AF177">
        <v>9.14</v>
      </c>
      <c r="AG177">
        <v>1.1910000000000001</v>
      </c>
      <c r="AH177">
        <v>109.98</v>
      </c>
      <c r="AI177">
        <v>1.2929999999999999</v>
      </c>
      <c r="AJ177">
        <v>1.2482</v>
      </c>
      <c r="AK177">
        <v>7.9386999999999999</v>
      </c>
      <c r="AL177">
        <v>0.9587</v>
      </c>
      <c r="AM177">
        <v>186.63</v>
      </c>
      <c r="AN177">
        <v>112.64</v>
      </c>
      <c r="AO177">
        <v>101.55</v>
      </c>
      <c r="AP177">
        <v>94.56</v>
      </c>
      <c r="AQ177">
        <v>97.7</v>
      </c>
    </row>
    <row r="178" spans="1:43" x14ac:dyDescent="0.25">
      <c r="A178" s="7">
        <v>43007</v>
      </c>
      <c r="B178">
        <v>1.0405</v>
      </c>
      <c r="C178">
        <v>0.183</v>
      </c>
      <c r="D178">
        <v>-0.749</v>
      </c>
      <c r="E178">
        <v>-0.218</v>
      </c>
      <c r="F178">
        <v>1.4826999999999999</v>
      </c>
      <c r="G178">
        <v>0.44359999999999999</v>
      </c>
      <c r="H178">
        <v>-0.69699999999999995</v>
      </c>
      <c r="I178">
        <v>-0.126</v>
      </c>
      <c r="J178">
        <v>2.3336000000000001</v>
      </c>
      <c r="K178">
        <v>1.3608</v>
      </c>
      <c r="L178">
        <v>0.46200000000000002</v>
      </c>
      <c r="M178">
        <v>0.06</v>
      </c>
      <c r="N178">
        <v>9.51</v>
      </c>
      <c r="O178">
        <v>195.95400000000001</v>
      </c>
      <c r="P178">
        <v>93.075999999999993</v>
      </c>
      <c r="Q178">
        <v>114.9538</v>
      </c>
      <c r="R178">
        <v>3.1623000000000001</v>
      </c>
      <c r="S178">
        <v>51.67</v>
      </c>
      <c r="T178">
        <v>57.54</v>
      </c>
      <c r="U178">
        <v>330.25</v>
      </c>
      <c r="V178">
        <v>890.79</v>
      </c>
      <c r="W178">
        <v>2000.55</v>
      </c>
      <c r="X178">
        <v>1081.72</v>
      </c>
      <c r="Y178">
        <v>74293.509999999995</v>
      </c>
      <c r="Z178">
        <v>9.6471</v>
      </c>
      <c r="AA178">
        <v>9.4314999999999998</v>
      </c>
      <c r="AB178">
        <v>10.129899999999999</v>
      </c>
      <c r="AC178">
        <v>8.6577000000000002</v>
      </c>
      <c r="AD178">
        <v>7.9298999999999999</v>
      </c>
      <c r="AE178">
        <v>7.1355000000000004</v>
      </c>
      <c r="AF178">
        <v>8.14</v>
      </c>
      <c r="AG178">
        <v>1.1814</v>
      </c>
      <c r="AH178">
        <v>112.51</v>
      </c>
      <c r="AI178">
        <v>1.3398000000000001</v>
      </c>
      <c r="AJ178">
        <v>1.2472000000000001</v>
      </c>
      <c r="AK178">
        <v>8.1479999999999997</v>
      </c>
      <c r="AL178">
        <v>0.96830000000000005</v>
      </c>
      <c r="AM178">
        <v>186.63</v>
      </c>
      <c r="AN178">
        <v>108.35</v>
      </c>
      <c r="AO178">
        <v>101.9</v>
      </c>
      <c r="AP178">
        <v>94.53</v>
      </c>
      <c r="AQ178">
        <v>94.06</v>
      </c>
    </row>
    <row r="179" spans="1:43" x14ac:dyDescent="0.25">
      <c r="A179" s="7">
        <v>43039</v>
      </c>
      <c r="B179">
        <v>1.1312</v>
      </c>
      <c r="C179">
        <v>0.372</v>
      </c>
      <c r="D179">
        <v>-0.83099999999999996</v>
      </c>
      <c r="E179">
        <v>-0.2</v>
      </c>
      <c r="F179">
        <v>1.5996999999999999</v>
      </c>
      <c r="G179">
        <v>0.4541</v>
      </c>
      <c r="H179">
        <v>-0.754</v>
      </c>
      <c r="I179">
        <v>-0.16500000000000001</v>
      </c>
      <c r="J179">
        <v>2.3793000000000002</v>
      </c>
      <c r="K179">
        <v>1.3305</v>
      </c>
      <c r="L179">
        <v>0.36199999999999999</v>
      </c>
      <c r="M179">
        <v>6.4000000000000001E-2</v>
      </c>
      <c r="N179">
        <v>10.18</v>
      </c>
      <c r="O179">
        <v>171.76900000000001</v>
      </c>
      <c r="P179">
        <v>94.552000000000007</v>
      </c>
      <c r="Q179">
        <v>117.14109999999999</v>
      </c>
      <c r="R179">
        <v>3.2713000000000001</v>
      </c>
      <c r="S179">
        <v>54.38</v>
      </c>
      <c r="T179">
        <v>61.37</v>
      </c>
      <c r="U179">
        <v>344.61</v>
      </c>
      <c r="V179">
        <v>872.48</v>
      </c>
      <c r="W179">
        <v>2036.8</v>
      </c>
      <c r="X179">
        <v>1119.08</v>
      </c>
      <c r="Y179">
        <v>74308.490000000005</v>
      </c>
      <c r="Z179">
        <v>10.0458</v>
      </c>
      <c r="AA179">
        <v>9.8536999999999999</v>
      </c>
      <c r="AB179">
        <v>10.3969</v>
      </c>
      <c r="AC179">
        <v>9.0777999999999999</v>
      </c>
      <c r="AD179">
        <v>8.2344000000000008</v>
      </c>
      <c r="AE179">
        <v>7.1580000000000004</v>
      </c>
      <c r="AF179">
        <v>7.39</v>
      </c>
      <c r="AG179">
        <v>1.1646000000000001</v>
      </c>
      <c r="AH179">
        <v>113.64</v>
      </c>
      <c r="AI179">
        <v>1.3283</v>
      </c>
      <c r="AJ179">
        <v>1.2887999999999999</v>
      </c>
      <c r="AK179">
        <v>8.3775999999999993</v>
      </c>
      <c r="AL179">
        <v>0.99760000000000004</v>
      </c>
      <c r="AM179">
        <v>186.63</v>
      </c>
      <c r="AN179">
        <v>110.88</v>
      </c>
      <c r="AO179">
        <v>102.87</v>
      </c>
      <c r="AP179">
        <v>94.8</v>
      </c>
      <c r="AQ179">
        <v>95.02</v>
      </c>
    </row>
    <row r="180" spans="1:43" x14ac:dyDescent="0.25">
      <c r="A180" s="7">
        <v>43069</v>
      </c>
      <c r="B180">
        <v>1.256</v>
      </c>
      <c r="C180">
        <v>0.35399999999999998</v>
      </c>
      <c r="D180">
        <v>-0.995</v>
      </c>
      <c r="E180">
        <v>-0.16700000000000001</v>
      </c>
      <c r="F180">
        <v>1.782</v>
      </c>
      <c r="G180">
        <v>0.51470000000000005</v>
      </c>
      <c r="H180">
        <v>-0.69</v>
      </c>
      <c r="I180">
        <v>-0.16300000000000001</v>
      </c>
      <c r="J180">
        <v>2.4097</v>
      </c>
      <c r="K180">
        <v>1.3291999999999999</v>
      </c>
      <c r="L180">
        <v>0.36599999999999999</v>
      </c>
      <c r="M180">
        <v>3.4000000000000002E-2</v>
      </c>
      <c r="N180">
        <v>11.28</v>
      </c>
      <c r="O180">
        <v>170.78800000000001</v>
      </c>
      <c r="P180">
        <v>93.046999999999997</v>
      </c>
      <c r="Q180">
        <v>117.1105</v>
      </c>
      <c r="R180">
        <v>3.2683</v>
      </c>
      <c r="S180">
        <v>57.4</v>
      </c>
      <c r="T180">
        <v>63.57</v>
      </c>
      <c r="U180">
        <v>345.01</v>
      </c>
      <c r="V180">
        <v>864.43</v>
      </c>
      <c r="W180">
        <v>2077.36</v>
      </c>
      <c r="X180">
        <v>1120.79</v>
      </c>
      <c r="Y180">
        <v>71970.990000000005</v>
      </c>
      <c r="Z180">
        <v>10.453799999999999</v>
      </c>
      <c r="AA180">
        <v>10.259600000000001</v>
      </c>
      <c r="AB180">
        <v>10.950200000000001</v>
      </c>
      <c r="AC180">
        <v>9.3371999999999993</v>
      </c>
      <c r="AD180">
        <v>8.3775999999999993</v>
      </c>
      <c r="AE180">
        <v>7.0434999999999999</v>
      </c>
      <c r="AF180">
        <v>7.39</v>
      </c>
      <c r="AG180">
        <v>1.1903999999999999</v>
      </c>
      <c r="AH180">
        <v>112.54</v>
      </c>
      <c r="AI180">
        <v>1.3525</v>
      </c>
      <c r="AJ180">
        <v>1.2897000000000001</v>
      </c>
      <c r="AK180">
        <v>8.3767999999999994</v>
      </c>
      <c r="AL180">
        <v>0.98360000000000003</v>
      </c>
      <c r="AM180">
        <v>186.63</v>
      </c>
      <c r="AN180">
        <v>105.58</v>
      </c>
      <c r="AO180">
        <v>103.32</v>
      </c>
      <c r="AP180">
        <v>94.96</v>
      </c>
      <c r="AQ180">
        <v>94.4</v>
      </c>
    </row>
    <row r="181" spans="1:43" x14ac:dyDescent="0.25">
      <c r="A181" s="7">
        <v>43098</v>
      </c>
      <c r="B181">
        <v>1.3756999999999999</v>
      </c>
      <c r="C181">
        <v>0.35899999999999999</v>
      </c>
      <c r="D181">
        <v>-0.78100000000000003</v>
      </c>
      <c r="E181">
        <v>-0.156</v>
      </c>
      <c r="F181">
        <v>1.883</v>
      </c>
      <c r="G181">
        <v>0.42749999999999999</v>
      </c>
      <c r="H181">
        <v>-0.63900000000000001</v>
      </c>
      <c r="I181">
        <v>-0.14099999999999999</v>
      </c>
      <c r="J181">
        <v>2.4054000000000002</v>
      </c>
      <c r="K181">
        <v>1.1883999999999999</v>
      </c>
      <c r="L181">
        <v>0.42299999999999999</v>
      </c>
      <c r="M181">
        <v>4.2999999999999997E-2</v>
      </c>
      <c r="N181">
        <v>11.04</v>
      </c>
      <c r="O181">
        <v>161.96600000000001</v>
      </c>
      <c r="P181">
        <v>92.123999999999995</v>
      </c>
      <c r="Q181">
        <v>117.06610000000001</v>
      </c>
      <c r="R181">
        <v>3.3085</v>
      </c>
      <c r="S181">
        <v>60.42</v>
      </c>
      <c r="T181">
        <v>66.87</v>
      </c>
      <c r="U181">
        <v>336.04</v>
      </c>
      <c r="V181">
        <v>910.56</v>
      </c>
      <c r="W181">
        <v>2103.4499999999998</v>
      </c>
      <c r="X181">
        <v>1158.45</v>
      </c>
      <c r="Y181">
        <v>76402.080000000002</v>
      </c>
      <c r="Z181">
        <v>10.2643</v>
      </c>
      <c r="AA181">
        <v>9.9923000000000002</v>
      </c>
      <c r="AB181">
        <v>10.7767</v>
      </c>
      <c r="AC181">
        <v>9.06</v>
      </c>
      <c r="AD181">
        <v>8.0660000000000007</v>
      </c>
      <c r="AE181">
        <v>6.87</v>
      </c>
      <c r="AF181">
        <v>6.89</v>
      </c>
      <c r="AG181">
        <v>1.2004999999999999</v>
      </c>
      <c r="AH181">
        <v>112.69</v>
      </c>
      <c r="AI181">
        <v>1.3512999999999999</v>
      </c>
      <c r="AJ181">
        <v>1.2571000000000001</v>
      </c>
      <c r="AK181">
        <v>8.1832999999999991</v>
      </c>
      <c r="AL181">
        <v>0.97430000000000005</v>
      </c>
      <c r="AM181">
        <v>186.63</v>
      </c>
      <c r="AN181">
        <v>94.39</v>
      </c>
      <c r="AO181">
        <v>106.08</v>
      </c>
      <c r="AP181">
        <v>96.28</v>
      </c>
      <c r="AQ181">
        <v>95.1</v>
      </c>
    </row>
    <row r="182" spans="1:43" x14ac:dyDescent="0.25">
      <c r="A182" s="7">
        <v>43131</v>
      </c>
      <c r="B182">
        <v>1.4551000000000001</v>
      </c>
      <c r="C182">
        <v>0.27800000000000002</v>
      </c>
      <c r="D182">
        <v>-0.69299999999999995</v>
      </c>
      <c r="E182">
        <v>-0.16</v>
      </c>
      <c r="F182">
        <v>2.1406000000000001</v>
      </c>
      <c r="G182">
        <v>0.65869999999999995</v>
      </c>
      <c r="H182">
        <v>-0.53500000000000003</v>
      </c>
      <c r="I182">
        <v>-0.13900000000000001</v>
      </c>
      <c r="J182">
        <v>2.7050000000000001</v>
      </c>
      <c r="K182">
        <v>1.5099</v>
      </c>
      <c r="L182">
        <v>0.69499999999999995</v>
      </c>
      <c r="M182">
        <v>0.08</v>
      </c>
      <c r="N182">
        <v>13.54</v>
      </c>
      <c r="O182">
        <v>144.488</v>
      </c>
      <c r="P182">
        <v>89.132999999999996</v>
      </c>
      <c r="Q182">
        <v>114.9496</v>
      </c>
      <c r="R182">
        <v>3.1869000000000001</v>
      </c>
      <c r="S182">
        <v>64.73</v>
      </c>
      <c r="T182">
        <v>69.05</v>
      </c>
      <c r="U182">
        <v>346.07</v>
      </c>
      <c r="V182">
        <v>963.13</v>
      </c>
      <c r="W182">
        <v>2213.2399999999998</v>
      </c>
      <c r="X182">
        <v>1254.5899999999999</v>
      </c>
      <c r="Y182">
        <v>84912.7</v>
      </c>
      <c r="Z182">
        <v>9.6891999999999996</v>
      </c>
      <c r="AA182">
        <v>9.5327000000000002</v>
      </c>
      <c r="AB182">
        <v>10.231</v>
      </c>
      <c r="AC182">
        <v>8.8693000000000008</v>
      </c>
      <c r="AD182">
        <v>8.1061999999999994</v>
      </c>
      <c r="AE182">
        <v>6.9104000000000001</v>
      </c>
      <c r="AF182">
        <v>6.89</v>
      </c>
      <c r="AG182">
        <v>1.2414000000000001</v>
      </c>
      <c r="AH182">
        <v>109.19</v>
      </c>
      <c r="AI182">
        <v>1.4191</v>
      </c>
      <c r="AJ182">
        <v>1.2315</v>
      </c>
      <c r="AK182">
        <v>7.8789999999999996</v>
      </c>
      <c r="AL182">
        <v>0.93130000000000002</v>
      </c>
      <c r="AM182">
        <v>186.63</v>
      </c>
      <c r="AN182">
        <v>95.85</v>
      </c>
      <c r="AO182">
        <v>103.69</v>
      </c>
      <c r="AP182">
        <v>95.73</v>
      </c>
      <c r="AQ182">
        <v>92.36</v>
      </c>
    </row>
    <row r="183" spans="1:43" x14ac:dyDescent="0.25">
      <c r="A183" s="7">
        <v>43159</v>
      </c>
      <c r="B183">
        <v>1.6517999999999999</v>
      </c>
      <c r="C183">
        <v>0.28499999999999998</v>
      </c>
      <c r="D183">
        <v>-0.69499999999999995</v>
      </c>
      <c r="E183">
        <v>-0.19900000000000001</v>
      </c>
      <c r="F183">
        <v>2.25</v>
      </c>
      <c r="G183">
        <v>0.77400000000000002</v>
      </c>
      <c r="H183">
        <v>-0.54800000000000004</v>
      </c>
      <c r="I183">
        <v>-0.161</v>
      </c>
      <c r="J183">
        <v>2.8605999999999998</v>
      </c>
      <c r="K183">
        <v>1.4998</v>
      </c>
      <c r="L183">
        <v>0.65300000000000002</v>
      </c>
      <c r="M183">
        <v>4.8000000000000001E-2</v>
      </c>
      <c r="N183">
        <v>19.850000000000001</v>
      </c>
      <c r="O183">
        <v>156.32900000000001</v>
      </c>
      <c r="P183">
        <v>90.613</v>
      </c>
      <c r="Q183">
        <v>114.2191</v>
      </c>
      <c r="R183">
        <v>3.2477</v>
      </c>
      <c r="S183">
        <v>61.64</v>
      </c>
      <c r="T183">
        <v>65.78</v>
      </c>
      <c r="U183">
        <v>347.16</v>
      </c>
      <c r="V183">
        <v>963.33</v>
      </c>
      <c r="W183">
        <v>2117.9899999999998</v>
      </c>
      <c r="X183">
        <v>1195.19</v>
      </c>
      <c r="Y183">
        <v>85353.59</v>
      </c>
      <c r="Z183">
        <v>9.5269999999999992</v>
      </c>
      <c r="AA183">
        <v>9.2956000000000003</v>
      </c>
      <c r="AB183">
        <v>9.9739000000000004</v>
      </c>
      <c r="AC183">
        <v>8.5634999999999994</v>
      </c>
      <c r="AD183">
        <v>7.7374999999999998</v>
      </c>
      <c r="AE183">
        <v>6.6776</v>
      </c>
      <c r="AF183">
        <v>6.64</v>
      </c>
      <c r="AG183">
        <v>1.2194</v>
      </c>
      <c r="AH183">
        <v>106.68</v>
      </c>
      <c r="AI183">
        <v>1.3759999999999999</v>
      </c>
      <c r="AJ183">
        <v>1.2830999999999999</v>
      </c>
      <c r="AK183">
        <v>8.2911000000000001</v>
      </c>
      <c r="AL183">
        <v>0.9446</v>
      </c>
      <c r="AM183">
        <v>186.63</v>
      </c>
      <c r="AN183">
        <v>90.04</v>
      </c>
      <c r="AO183">
        <v>102.95</v>
      </c>
      <c r="AP183">
        <v>95.42</v>
      </c>
      <c r="AQ183">
        <v>90.65</v>
      </c>
    </row>
    <row r="184" spans="1:43" x14ac:dyDescent="0.25">
      <c r="A184" s="7">
        <v>43189</v>
      </c>
      <c r="B184">
        <v>1.7000999999999999</v>
      </c>
      <c r="C184">
        <v>0.40300000000000002</v>
      </c>
      <c r="D184">
        <v>-0.80100000000000005</v>
      </c>
      <c r="E184">
        <v>-2.7E-2</v>
      </c>
      <c r="F184">
        <v>2.2660999999999998</v>
      </c>
      <c r="G184">
        <v>0.81789999999999996</v>
      </c>
      <c r="H184">
        <v>-0.61399999999999999</v>
      </c>
      <c r="I184">
        <v>-0.13800000000000001</v>
      </c>
      <c r="J184">
        <v>2.7389000000000001</v>
      </c>
      <c r="K184">
        <v>1.3489</v>
      </c>
      <c r="L184">
        <v>0.49399999999999999</v>
      </c>
      <c r="M184">
        <v>4.3999999999999997E-2</v>
      </c>
      <c r="N184">
        <v>19.97</v>
      </c>
      <c r="O184">
        <v>164.2</v>
      </c>
      <c r="P184">
        <v>89.974000000000004</v>
      </c>
      <c r="Q184">
        <v>114.13639999999999</v>
      </c>
      <c r="R184">
        <v>3.3062999999999998</v>
      </c>
      <c r="S184">
        <v>64.94</v>
      </c>
      <c r="T184">
        <v>70.27</v>
      </c>
      <c r="U184">
        <v>336.95</v>
      </c>
      <c r="V184">
        <v>958.72</v>
      </c>
      <c r="W184">
        <v>2066.84</v>
      </c>
      <c r="X184">
        <v>1170.8800000000001</v>
      </c>
      <c r="Y184">
        <v>85365.56</v>
      </c>
      <c r="Z184">
        <v>9.3315000000000001</v>
      </c>
      <c r="AA184">
        <v>9.0548999999999999</v>
      </c>
      <c r="AB184">
        <v>9.9016000000000002</v>
      </c>
      <c r="AC184">
        <v>8.1723999999999997</v>
      </c>
      <c r="AD184">
        <v>7.2865000000000002</v>
      </c>
      <c r="AE184">
        <v>6.3137999999999996</v>
      </c>
      <c r="AF184">
        <v>6.39</v>
      </c>
      <c r="AG184">
        <v>1.2323999999999999</v>
      </c>
      <c r="AH184">
        <v>106.28</v>
      </c>
      <c r="AI184">
        <v>1.4015</v>
      </c>
      <c r="AJ184">
        <v>1.29</v>
      </c>
      <c r="AK184">
        <v>8.3417999999999992</v>
      </c>
      <c r="AL184">
        <v>0.95399999999999996</v>
      </c>
      <c r="AM184">
        <v>186.63</v>
      </c>
      <c r="AN184">
        <v>100.5</v>
      </c>
      <c r="AO184">
        <v>104.54</v>
      </c>
      <c r="AP184">
        <v>95.44</v>
      </c>
      <c r="AQ184">
        <v>98.82</v>
      </c>
    </row>
    <row r="185" spans="1:43" x14ac:dyDescent="0.25">
      <c r="A185" s="7">
        <v>43220</v>
      </c>
      <c r="B185">
        <v>1.7996000000000001</v>
      </c>
      <c r="C185">
        <v>0.45100000000000001</v>
      </c>
      <c r="D185">
        <v>-0.68600000000000005</v>
      </c>
      <c r="E185">
        <v>-0.14899999999999999</v>
      </c>
      <c r="F185">
        <v>2.4878999999999998</v>
      </c>
      <c r="G185">
        <v>0.77170000000000005</v>
      </c>
      <c r="H185">
        <v>-0.59199999999999997</v>
      </c>
      <c r="I185">
        <v>-0.14000000000000001</v>
      </c>
      <c r="J185">
        <v>2.9531000000000001</v>
      </c>
      <c r="K185">
        <v>1.4173</v>
      </c>
      <c r="L185">
        <v>0.55700000000000005</v>
      </c>
      <c r="M185">
        <v>0.05</v>
      </c>
      <c r="N185">
        <v>15.93</v>
      </c>
      <c r="O185">
        <v>173.77799999999999</v>
      </c>
      <c r="P185">
        <v>91.840999999999994</v>
      </c>
      <c r="Q185">
        <v>114.0487</v>
      </c>
      <c r="R185">
        <v>3.5072000000000001</v>
      </c>
      <c r="S185">
        <v>68.569999999999993</v>
      </c>
      <c r="T185">
        <v>75.17</v>
      </c>
      <c r="U185">
        <v>353.48</v>
      </c>
      <c r="V185">
        <v>972.17</v>
      </c>
      <c r="W185">
        <v>2086.5100000000002</v>
      </c>
      <c r="X185">
        <v>1164.43</v>
      </c>
      <c r="Y185">
        <v>86115.5</v>
      </c>
      <c r="Z185">
        <v>9.5607000000000006</v>
      </c>
      <c r="AA185">
        <v>9.2777999999999992</v>
      </c>
      <c r="AB185">
        <v>10.1425</v>
      </c>
      <c r="AC185">
        <v>8.2416</v>
      </c>
      <c r="AD185">
        <v>7.3247</v>
      </c>
      <c r="AE185">
        <v>6.4226000000000001</v>
      </c>
      <c r="AF185">
        <v>6.39</v>
      </c>
      <c r="AG185">
        <v>1.2078</v>
      </c>
      <c r="AH185">
        <v>109.34</v>
      </c>
      <c r="AI185">
        <v>1.3763000000000001</v>
      </c>
      <c r="AJ185">
        <v>1.2843</v>
      </c>
      <c r="AK185">
        <v>8.7492000000000001</v>
      </c>
      <c r="AL185">
        <v>0.9909</v>
      </c>
      <c r="AM185">
        <v>186.63</v>
      </c>
      <c r="AN185">
        <v>100.78</v>
      </c>
      <c r="AO185">
        <v>104.89</v>
      </c>
      <c r="AP185">
        <v>95.96</v>
      </c>
      <c r="AQ185">
        <v>96.92</v>
      </c>
    </row>
    <row r="186" spans="1:43" x14ac:dyDescent="0.25">
      <c r="A186" s="7">
        <v>43251</v>
      </c>
      <c r="B186">
        <v>1.8946000000000001</v>
      </c>
      <c r="C186">
        <v>0.45900000000000002</v>
      </c>
      <c r="D186">
        <v>-0.65400000000000003</v>
      </c>
      <c r="E186">
        <v>-0.154</v>
      </c>
      <c r="F186">
        <v>2.4274</v>
      </c>
      <c r="G186">
        <v>0.60470000000000002</v>
      </c>
      <c r="H186">
        <v>-0.66700000000000004</v>
      </c>
      <c r="I186">
        <v>-0.14699999999999999</v>
      </c>
      <c r="J186">
        <v>2.8586</v>
      </c>
      <c r="K186">
        <v>1.2282999999999999</v>
      </c>
      <c r="L186">
        <v>0.33800000000000002</v>
      </c>
      <c r="M186">
        <v>3.2000000000000001E-2</v>
      </c>
      <c r="N186">
        <v>15.43</v>
      </c>
      <c r="O186">
        <v>226.51499999999999</v>
      </c>
      <c r="P186">
        <v>93.978999999999999</v>
      </c>
      <c r="Q186">
        <v>117.45099999999999</v>
      </c>
      <c r="R186">
        <v>3.7239</v>
      </c>
      <c r="S186">
        <v>67.040000000000006</v>
      </c>
      <c r="T186">
        <v>77.59</v>
      </c>
      <c r="U186">
        <v>355.93</v>
      </c>
      <c r="V186">
        <v>951.41</v>
      </c>
      <c r="W186">
        <v>2092.92</v>
      </c>
      <c r="X186">
        <v>1120.71</v>
      </c>
      <c r="Y186">
        <v>76753.62</v>
      </c>
      <c r="Z186">
        <v>11.035299999999999</v>
      </c>
      <c r="AA186">
        <v>10.7614</v>
      </c>
      <c r="AB186">
        <v>11.795400000000001</v>
      </c>
      <c r="AC186">
        <v>9.2670999999999992</v>
      </c>
      <c r="AD186">
        <v>8.1647999999999996</v>
      </c>
      <c r="AE186">
        <v>7.2126999999999999</v>
      </c>
      <c r="AF186">
        <v>6.39</v>
      </c>
      <c r="AG186">
        <v>1.1693</v>
      </c>
      <c r="AH186">
        <v>108.82</v>
      </c>
      <c r="AI186">
        <v>1.3298000000000001</v>
      </c>
      <c r="AJ186">
        <v>1.2958000000000001</v>
      </c>
      <c r="AK186">
        <v>8.8135999999999992</v>
      </c>
      <c r="AL186">
        <v>0.98580000000000001</v>
      </c>
      <c r="AM186">
        <v>186.63</v>
      </c>
      <c r="AN186">
        <v>98.36</v>
      </c>
      <c r="AO186">
        <v>93.45</v>
      </c>
      <c r="AP186">
        <v>93.06</v>
      </c>
      <c r="AQ186">
        <v>92.23</v>
      </c>
    </row>
    <row r="187" spans="1:43" x14ac:dyDescent="0.25">
      <c r="A187" s="7">
        <v>43280</v>
      </c>
      <c r="B187">
        <v>1.9123000000000001</v>
      </c>
      <c r="C187">
        <v>0.54200000000000004</v>
      </c>
      <c r="D187">
        <v>-0.65400000000000003</v>
      </c>
      <c r="E187">
        <v>-0.14299999999999999</v>
      </c>
      <c r="F187">
        <v>2.5282</v>
      </c>
      <c r="G187">
        <v>0.71899999999999997</v>
      </c>
      <c r="H187">
        <v>-0.67400000000000004</v>
      </c>
      <c r="I187">
        <v>-0.128</v>
      </c>
      <c r="J187">
        <v>2.8601000000000001</v>
      </c>
      <c r="K187">
        <v>1.2767999999999999</v>
      </c>
      <c r="L187">
        <v>0.3</v>
      </c>
      <c r="M187">
        <v>2.9000000000000001E-2</v>
      </c>
      <c r="N187">
        <v>16.09</v>
      </c>
      <c r="O187">
        <v>270.18</v>
      </c>
      <c r="P187">
        <v>94.47</v>
      </c>
      <c r="Q187">
        <v>119.82040000000001</v>
      </c>
      <c r="R187">
        <v>3.8765000000000001</v>
      </c>
      <c r="S187">
        <v>74.150000000000006</v>
      </c>
      <c r="T187">
        <v>79.44</v>
      </c>
      <c r="U187">
        <v>348.8</v>
      </c>
      <c r="V187">
        <v>927.18</v>
      </c>
      <c r="W187">
        <v>2089.3000000000002</v>
      </c>
      <c r="X187">
        <v>1069.52</v>
      </c>
      <c r="Y187">
        <v>72762.509999999995</v>
      </c>
      <c r="Z187">
        <v>11.387700000000001</v>
      </c>
      <c r="AA187">
        <v>11.005699999999999</v>
      </c>
      <c r="AB187">
        <v>12.0769</v>
      </c>
      <c r="AC187">
        <v>9.7582000000000004</v>
      </c>
      <c r="AD187">
        <v>8.8345000000000002</v>
      </c>
      <c r="AE187">
        <v>7.6638000000000002</v>
      </c>
      <c r="AF187">
        <v>6.39</v>
      </c>
      <c r="AG187">
        <v>1.1684000000000001</v>
      </c>
      <c r="AH187">
        <v>110.76</v>
      </c>
      <c r="AI187">
        <v>1.3207</v>
      </c>
      <c r="AJ187">
        <v>1.3132999999999999</v>
      </c>
      <c r="AK187">
        <v>8.9428000000000001</v>
      </c>
      <c r="AL187">
        <v>0.99060000000000004</v>
      </c>
      <c r="AM187">
        <v>186.63</v>
      </c>
      <c r="AN187">
        <v>106.1</v>
      </c>
      <c r="AO187">
        <v>105.02</v>
      </c>
      <c r="AP187">
        <v>95.68</v>
      </c>
      <c r="AQ187">
        <v>95.61</v>
      </c>
    </row>
    <row r="188" spans="1:43" x14ac:dyDescent="0.25">
      <c r="A188" s="7">
        <v>43312</v>
      </c>
      <c r="B188">
        <v>2.0203000000000002</v>
      </c>
      <c r="C188">
        <v>0.63</v>
      </c>
      <c r="D188">
        <v>-0.60499999999999998</v>
      </c>
      <c r="E188">
        <v>-0.191</v>
      </c>
      <c r="F188">
        <v>2.6694</v>
      </c>
      <c r="G188">
        <v>0.76690000000000003</v>
      </c>
      <c r="H188">
        <v>-0.57899999999999996</v>
      </c>
      <c r="I188">
        <v>-0.114</v>
      </c>
      <c r="J188">
        <v>2.9598</v>
      </c>
      <c r="K188">
        <v>1.3293999999999999</v>
      </c>
      <c r="L188">
        <v>0.442</v>
      </c>
      <c r="M188">
        <v>5.7000000000000002E-2</v>
      </c>
      <c r="N188">
        <v>12.83</v>
      </c>
      <c r="O188">
        <v>214.39</v>
      </c>
      <c r="P188">
        <v>94.554000000000002</v>
      </c>
      <c r="Q188">
        <v>119.8734</v>
      </c>
      <c r="R188">
        <v>3.7574000000000001</v>
      </c>
      <c r="S188">
        <v>68.760000000000005</v>
      </c>
      <c r="T188">
        <v>74.25</v>
      </c>
      <c r="U188">
        <v>340.65</v>
      </c>
      <c r="V188">
        <v>895.26</v>
      </c>
      <c r="W188">
        <v>2153.1</v>
      </c>
      <c r="X188">
        <v>1087.46</v>
      </c>
      <c r="Y188">
        <v>79220.429999999993</v>
      </c>
      <c r="Z188">
        <v>10.877800000000001</v>
      </c>
      <c r="AA188">
        <v>10.586499999999999</v>
      </c>
      <c r="AB188">
        <v>11.470700000000001</v>
      </c>
      <c r="AC188">
        <v>9.4565999999999999</v>
      </c>
      <c r="AD188">
        <v>8.5300999999999991</v>
      </c>
      <c r="AE188">
        <v>7.4096000000000002</v>
      </c>
      <c r="AF188">
        <v>6.39</v>
      </c>
      <c r="AG188">
        <v>1.1691</v>
      </c>
      <c r="AH188">
        <v>111.86</v>
      </c>
      <c r="AI188">
        <v>1.3124</v>
      </c>
      <c r="AJ188">
        <v>1.3006</v>
      </c>
      <c r="AK188">
        <v>8.7918000000000003</v>
      </c>
      <c r="AL188">
        <v>0.99029999999999996</v>
      </c>
      <c r="AM188">
        <v>186.63</v>
      </c>
      <c r="AN188">
        <v>111.62</v>
      </c>
      <c r="AO188">
        <v>104.68</v>
      </c>
      <c r="AP188">
        <v>96.01</v>
      </c>
      <c r="AQ188">
        <v>98.4</v>
      </c>
    </row>
    <row r="189" spans="1:43" x14ac:dyDescent="0.25">
      <c r="A189" s="7">
        <v>43343</v>
      </c>
      <c r="B189">
        <v>2.0937999999999999</v>
      </c>
      <c r="C189">
        <v>0.73299999999999998</v>
      </c>
      <c r="D189">
        <v>-0.59199999999999997</v>
      </c>
      <c r="E189">
        <v>-0.14000000000000001</v>
      </c>
      <c r="F189">
        <v>2.6269</v>
      </c>
      <c r="G189">
        <v>0.72540000000000004</v>
      </c>
      <c r="H189">
        <v>-0.61099999999999999</v>
      </c>
      <c r="I189">
        <v>-0.12</v>
      </c>
      <c r="J189">
        <v>2.8603999999999998</v>
      </c>
      <c r="K189">
        <v>1.4258999999999999</v>
      </c>
      <c r="L189">
        <v>0.32500000000000001</v>
      </c>
      <c r="M189">
        <v>0.10100000000000001</v>
      </c>
      <c r="N189">
        <v>12.86</v>
      </c>
      <c r="O189">
        <v>302.03500000000003</v>
      </c>
      <c r="P189">
        <v>95.14</v>
      </c>
      <c r="Q189">
        <v>120.9209</v>
      </c>
      <c r="R189">
        <v>4.0540000000000003</v>
      </c>
      <c r="S189">
        <v>69.8</v>
      </c>
      <c r="T189">
        <v>77.42</v>
      </c>
      <c r="U189">
        <v>318.24</v>
      </c>
      <c r="V189">
        <v>831.8</v>
      </c>
      <c r="W189">
        <v>2175.5</v>
      </c>
      <c r="X189">
        <v>1055.96</v>
      </c>
      <c r="Y189">
        <v>76677.53</v>
      </c>
      <c r="Z189">
        <v>12.027900000000001</v>
      </c>
      <c r="AA189">
        <v>11.655200000000001</v>
      </c>
      <c r="AB189">
        <v>12.6806</v>
      </c>
      <c r="AC189">
        <v>10.442500000000001</v>
      </c>
      <c r="AD189">
        <v>9.4848999999999997</v>
      </c>
      <c r="AE189">
        <v>8.2399000000000004</v>
      </c>
      <c r="AF189">
        <v>6.39</v>
      </c>
      <c r="AG189">
        <v>1.1601999999999999</v>
      </c>
      <c r="AH189">
        <v>111.03</v>
      </c>
      <c r="AI189">
        <v>1.296</v>
      </c>
      <c r="AJ189">
        <v>1.304</v>
      </c>
      <c r="AK189">
        <v>9.1537000000000006</v>
      </c>
      <c r="AL189">
        <v>0.96889999999999998</v>
      </c>
      <c r="AM189">
        <v>186.63</v>
      </c>
      <c r="AN189">
        <v>114.46</v>
      </c>
      <c r="AO189">
        <v>103.83</v>
      </c>
      <c r="AP189">
        <v>96.74</v>
      </c>
      <c r="AQ189">
        <v>99.98</v>
      </c>
    </row>
    <row r="190" spans="1:43" x14ac:dyDescent="0.25">
      <c r="A190" s="7">
        <v>43371</v>
      </c>
      <c r="B190">
        <v>2.1964000000000001</v>
      </c>
      <c r="C190">
        <v>0.72199999999999998</v>
      </c>
      <c r="D190">
        <v>-0.58699999999999997</v>
      </c>
      <c r="E190">
        <v>-0.13600000000000001</v>
      </c>
      <c r="F190">
        <v>2.8188</v>
      </c>
      <c r="G190">
        <v>0.81769999999999998</v>
      </c>
      <c r="H190">
        <v>-0.53200000000000003</v>
      </c>
      <c r="I190">
        <v>-0.12</v>
      </c>
      <c r="J190">
        <v>3.0611999999999999</v>
      </c>
      <c r="K190">
        <v>1.5721000000000001</v>
      </c>
      <c r="L190">
        <v>0.46899999999999997</v>
      </c>
      <c r="M190">
        <v>0.124</v>
      </c>
      <c r="N190">
        <v>12.12</v>
      </c>
      <c r="O190">
        <v>262.96499999999997</v>
      </c>
      <c r="P190">
        <v>95.132000000000005</v>
      </c>
      <c r="Q190">
        <v>122.0521</v>
      </c>
      <c r="R190">
        <v>4.0492999999999997</v>
      </c>
      <c r="S190">
        <v>73.25</v>
      </c>
      <c r="T190">
        <v>82.72</v>
      </c>
      <c r="U190">
        <v>334.64</v>
      </c>
      <c r="V190">
        <v>824.73</v>
      </c>
      <c r="W190">
        <v>2184.0100000000002</v>
      </c>
      <c r="X190">
        <v>1047.9100000000001</v>
      </c>
      <c r="Y190">
        <v>79342.42</v>
      </c>
      <c r="Z190">
        <v>11.699299999999999</v>
      </c>
      <c r="AA190">
        <v>11.4183</v>
      </c>
      <c r="AB190">
        <v>12.2957</v>
      </c>
      <c r="AC190">
        <v>10.3034</v>
      </c>
      <c r="AD190">
        <v>9.2899999999999991</v>
      </c>
      <c r="AE190">
        <v>7.98</v>
      </c>
      <c r="AF190">
        <v>6.39</v>
      </c>
      <c r="AG190">
        <v>1.1604000000000001</v>
      </c>
      <c r="AH190">
        <v>113.7</v>
      </c>
      <c r="AI190">
        <v>1.3030999999999999</v>
      </c>
      <c r="AJ190">
        <v>1.2907999999999999</v>
      </c>
      <c r="AK190">
        <v>8.8894000000000002</v>
      </c>
      <c r="AL190">
        <v>0.98170000000000002</v>
      </c>
      <c r="AM190">
        <v>186.63</v>
      </c>
      <c r="AN190">
        <v>105.73</v>
      </c>
      <c r="AO190">
        <v>100.82</v>
      </c>
      <c r="AP190">
        <v>96.23</v>
      </c>
      <c r="AQ190">
        <v>94.74</v>
      </c>
    </row>
    <row r="191" spans="1:43" x14ac:dyDescent="0.25">
      <c r="A191" s="7">
        <v>43404</v>
      </c>
      <c r="B191">
        <v>2.3250999999999999</v>
      </c>
      <c r="C191">
        <v>0.71199999999999997</v>
      </c>
      <c r="D191">
        <v>-0.85399999999999998</v>
      </c>
      <c r="E191">
        <v>-0.35399999999999998</v>
      </c>
      <c r="F191">
        <v>2.8668999999999998</v>
      </c>
      <c r="G191">
        <v>0.74429999999999996</v>
      </c>
      <c r="H191">
        <v>-0.624</v>
      </c>
      <c r="I191">
        <v>-0.128</v>
      </c>
      <c r="J191">
        <v>3.1435</v>
      </c>
      <c r="K191">
        <v>1.4355</v>
      </c>
      <c r="L191">
        <v>0.38400000000000001</v>
      </c>
      <c r="M191">
        <v>0.122</v>
      </c>
      <c r="N191">
        <v>21.23</v>
      </c>
      <c r="O191">
        <v>204.30500000000001</v>
      </c>
      <c r="P191">
        <v>97.126999999999995</v>
      </c>
      <c r="Q191">
        <v>122.6306</v>
      </c>
      <c r="R191">
        <v>3.7223999999999999</v>
      </c>
      <c r="S191">
        <v>65.31</v>
      </c>
      <c r="T191">
        <v>75.47</v>
      </c>
      <c r="U191">
        <v>336.4</v>
      </c>
      <c r="V191">
        <v>831</v>
      </c>
      <c r="W191">
        <v>2021.98</v>
      </c>
      <c r="X191">
        <v>955.92</v>
      </c>
      <c r="Y191">
        <v>87423.55</v>
      </c>
      <c r="Z191">
        <v>9.7972000000000001</v>
      </c>
      <c r="AA191">
        <v>9.5350999999999999</v>
      </c>
      <c r="AB191">
        <v>10.3691</v>
      </c>
      <c r="AC191">
        <v>8.7360000000000007</v>
      </c>
      <c r="AD191">
        <v>8.0050000000000008</v>
      </c>
      <c r="AE191">
        <v>7.0202</v>
      </c>
      <c r="AF191">
        <v>6.4</v>
      </c>
      <c r="AG191">
        <v>1.1312</v>
      </c>
      <c r="AH191">
        <v>112.94</v>
      </c>
      <c r="AI191">
        <v>1.2766</v>
      </c>
      <c r="AJ191">
        <v>1.3157000000000001</v>
      </c>
      <c r="AK191">
        <v>9.1654</v>
      </c>
      <c r="AL191">
        <v>1.0085</v>
      </c>
      <c r="AM191">
        <v>186.63</v>
      </c>
      <c r="AN191">
        <v>111.62</v>
      </c>
      <c r="AO191">
        <v>102.31</v>
      </c>
      <c r="AP191">
        <v>96.53</v>
      </c>
      <c r="AQ191">
        <v>97.73</v>
      </c>
    </row>
    <row r="192" spans="1:43" x14ac:dyDescent="0.25">
      <c r="A192" s="7">
        <v>43434</v>
      </c>
      <c r="B192">
        <v>2.3424</v>
      </c>
      <c r="C192">
        <v>0.72499999999999998</v>
      </c>
      <c r="D192">
        <v>-0.76600000000000001</v>
      </c>
      <c r="E192">
        <v>-0.19600000000000001</v>
      </c>
      <c r="F192">
        <v>2.7865000000000002</v>
      </c>
      <c r="G192">
        <v>0.76359999999999995</v>
      </c>
      <c r="H192">
        <v>-0.60199999999999998</v>
      </c>
      <c r="I192">
        <v>-0.13300000000000001</v>
      </c>
      <c r="J192">
        <v>2.9878999999999998</v>
      </c>
      <c r="K192">
        <v>1.3614999999999999</v>
      </c>
      <c r="L192">
        <v>0.312</v>
      </c>
      <c r="M192">
        <v>8.6999999999999994E-2</v>
      </c>
      <c r="N192">
        <v>18.07</v>
      </c>
      <c r="O192">
        <v>210.36600000000001</v>
      </c>
      <c r="P192">
        <v>97.272000000000006</v>
      </c>
      <c r="Q192">
        <v>124.249</v>
      </c>
      <c r="R192">
        <v>3.8662999999999998</v>
      </c>
      <c r="S192">
        <v>50.93</v>
      </c>
      <c r="T192">
        <v>58.71</v>
      </c>
      <c r="U192">
        <v>333.2</v>
      </c>
      <c r="V192">
        <v>840.61</v>
      </c>
      <c r="W192">
        <v>2041.36</v>
      </c>
      <c r="X192">
        <v>994.72</v>
      </c>
      <c r="Y192">
        <v>89504.03</v>
      </c>
      <c r="Z192">
        <v>9.5708000000000002</v>
      </c>
      <c r="AA192">
        <v>9.3312000000000008</v>
      </c>
      <c r="AB192">
        <v>10.0253</v>
      </c>
      <c r="AC192">
        <v>8.5963999999999992</v>
      </c>
      <c r="AD192">
        <v>7.8722000000000003</v>
      </c>
      <c r="AE192">
        <v>6.9207000000000001</v>
      </c>
      <c r="AF192">
        <v>6.4</v>
      </c>
      <c r="AG192">
        <v>1.1316999999999999</v>
      </c>
      <c r="AH192">
        <v>113.57</v>
      </c>
      <c r="AI192">
        <v>1.2748999999999999</v>
      </c>
      <c r="AJ192">
        <v>1.3291999999999999</v>
      </c>
      <c r="AK192">
        <v>9.1052</v>
      </c>
      <c r="AL192">
        <v>0.99790000000000001</v>
      </c>
      <c r="AM192">
        <v>186.63</v>
      </c>
      <c r="AN192">
        <v>104.28</v>
      </c>
      <c r="AO192">
        <v>102.16</v>
      </c>
      <c r="AP192">
        <v>96.86</v>
      </c>
      <c r="AQ192">
        <v>96.25</v>
      </c>
    </row>
    <row r="193" spans="1:43" x14ac:dyDescent="0.25">
      <c r="A193" s="7">
        <v>43465</v>
      </c>
      <c r="B193">
        <v>2.3549000000000002</v>
      </c>
      <c r="C193">
        <v>0.7</v>
      </c>
      <c r="D193">
        <v>-0.85</v>
      </c>
      <c r="E193">
        <v>-0.15</v>
      </c>
      <c r="F193">
        <v>2.4878</v>
      </c>
      <c r="G193">
        <v>0.74390000000000001</v>
      </c>
      <c r="H193">
        <v>-0.62</v>
      </c>
      <c r="I193">
        <v>-0.14699999999999999</v>
      </c>
      <c r="J193">
        <v>2.6842000000000001</v>
      </c>
      <c r="K193">
        <v>1.2746</v>
      </c>
      <c r="L193">
        <v>0.23899999999999999</v>
      </c>
      <c r="M193">
        <v>-5.0000000000000001E-3</v>
      </c>
      <c r="N193">
        <v>25.42</v>
      </c>
      <c r="O193">
        <v>207.51499999999999</v>
      </c>
      <c r="P193">
        <v>96.173000000000002</v>
      </c>
      <c r="Q193">
        <v>123.7744</v>
      </c>
      <c r="R193">
        <v>3.8744999999999998</v>
      </c>
      <c r="S193">
        <v>45.41</v>
      </c>
      <c r="T193">
        <v>53.8</v>
      </c>
      <c r="U193">
        <v>324.23</v>
      </c>
      <c r="V193">
        <v>829.87</v>
      </c>
      <c r="W193">
        <v>1883.9</v>
      </c>
      <c r="X193">
        <v>965.78</v>
      </c>
      <c r="Y193">
        <v>87887.26</v>
      </c>
      <c r="Z193">
        <v>9.1157000000000004</v>
      </c>
      <c r="AA193">
        <v>8.8632000000000009</v>
      </c>
      <c r="AB193">
        <v>9.5709999999999997</v>
      </c>
      <c r="AC193">
        <v>8.0780999999999992</v>
      </c>
      <c r="AD193">
        <v>7.3544</v>
      </c>
      <c r="AE193">
        <v>6.5475000000000003</v>
      </c>
      <c r="AF193">
        <v>6.4</v>
      </c>
      <c r="AG193">
        <v>1.1467000000000001</v>
      </c>
      <c r="AH193">
        <v>109.69</v>
      </c>
      <c r="AI193">
        <v>1.2754000000000001</v>
      </c>
      <c r="AJ193">
        <v>1.3636999999999999</v>
      </c>
      <c r="AK193">
        <v>8.8533000000000008</v>
      </c>
      <c r="AL193">
        <v>0.98209999999999997</v>
      </c>
      <c r="AM193">
        <v>186.63</v>
      </c>
      <c r="AN193">
        <v>90.84</v>
      </c>
      <c r="AO193">
        <v>102.01</v>
      </c>
      <c r="AP193">
        <v>97.19</v>
      </c>
      <c r="AQ193">
        <v>95.6</v>
      </c>
    </row>
    <row r="194" spans="1:43" x14ac:dyDescent="0.25">
      <c r="A194" s="7">
        <v>43496</v>
      </c>
      <c r="B194">
        <v>2.3839000000000001</v>
      </c>
      <c r="C194">
        <v>0.749</v>
      </c>
      <c r="D194">
        <v>-0.55300000000000005</v>
      </c>
      <c r="E194">
        <v>-0.252</v>
      </c>
      <c r="F194">
        <v>2.4575999999999998</v>
      </c>
      <c r="G194">
        <v>0.74399999999999999</v>
      </c>
      <c r="H194">
        <v>-0.56899999999999995</v>
      </c>
      <c r="I194">
        <v>-0.16900000000000001</v>
      </c>
      <c r="J194">
        <v>2.6293000000000002</v>
      </c>
      <c r="K194">
        <v>1.2166999999999999</v>
      </c>
      <c r="L194">
        <v>0.14799999999999999</v>
      </c>
      <c r="M194">
        <v>-2E-3</v>
      </c>
      <c r="N194">
        <v>16.57</v>
      </c>
      <c r="O194">
        <v>166.26599999999999</v>
      </c>
      <c r="P194">
        <v>95.578000000000003</v>
      </c>
      <c r="Q194">
        <v>121.21769999999999</v>
      </c>
      <c r="R194">
        <v>3.6467999999999998</v>
      </c>
      <c r="S194">
        <v>53.79</v>
      </c>
      <c r="T194">
        <v>61.89</v>
      </c>
      <c r="U194">
        <v>330.72</v>
      </c>
      <c r="V194">
        <v>855.15</v>
      </c>
      <c r="W194">
        <v>2028.49</v>
      </c>
      <c r="X194">
        <v>1049.93</v>
      </c>
      <c r="Y194">
        <v>97393.74</v>
      </c>
      <c r="Z194">
        <v>8.6526999999999994</v>
      </c>
      <c r="AA194">
        <v>8.4453999999999994</v>
      </c>
      <c r="AB194">
        <v>9.1547999999999998</v>
      </c>
      <c r="AC194">
        <v>7.7119999999999997</v>
      </c>
      <c r="AD194">
        <v>7.0763999999999996</v>
      </c>
      <c r="AE194">
        <v>6.4206000000000003</v>
      </c>
      <c r="AF194">
        <v>6.4</v>
      </c>
      <c r="AG194">
        <v>1.1448</v>
      </c>
      <c r="AH194">
        <v>108.89</v>
      </c>
      <c r="AI194">
        <v>1.3109</v>
      </c>
      <c r="AJ194">
        <v>1.3125</v>
      </c>
      <c r="AK194">
        <v>9.0477000000000007</v>
      </c>
      <c r="AL194">
        <v>0.99419999999999997</v>
      </c>
      <c r="AM194">
        <v>186.63</v>
      </c>
      <c r="AN194">
        <v>94.02</v>
      </c>
      <c r="AO194">
        <v>101.5</v>
      </c>
      <c r="AP194">
        <v>97</v>
      </c>
      <c r="AQ194">
        <v>93.37</v>
      </c>
    </row>
    <row r="195" spans="1:43" x14ac:dyDescent="0.25">
      <c r="A195" s="7">
        <v>43524</v>
      </c>
      <c r="B195">
        <v>2.4325999999999999</v>
      </c>
      <c r="C195">
        <v>0.54900000000000004</v>
      </c>
      <c r="D195">
        <v>-0.53900000000000003</v>
      </c>
      <c r="E195">
        <v>-0.193</v>
      </c>
      <c r="F195">
        <v>2.5141</v>
      </c>
      <c r="G195">
        <v>0.81920000000000004</v>
      </c>
      <c r="H195">
        <v>-0.52800000000000002</v>
      </c>
      <c r="I195">
        <v>-0.158</v>
      </c>
      <c r="J195">
        <v>2.7149999999999999</v>
      </c>
      <c r="K195">
        <v>1.3005</v>
      </c>
      <c r="L195">
        <v>0.182</v>
      </c>
      <c r="M195">
        <v>-2.8000000000000001E-2</v>
      </c>
      <c r="N195">
        <v>14.78</v>
      </c>
      <c r="O195">
        <v>156.22300000000001</v>
      </c>
      <c r="P195">
        <v>96.156999999999996</v>
      </c>
      <c r="Q195">
        <v>120.8695</v>
      </c>
      <c r="R195">
        <v>3.7568000000000001</v>
      </c>
      <c r="S195">
        <v>57.22</v>
      </c>
      <c r="T195">
        <v>66.03</v>
      </c>
      <c r="U195">
        <v>324.64999999999998</v>
      </c>
      <c r="V195">
        <v>876.21</v>
      </c>
      <c r="W195">
        <v>2085.84</v>
      </c>
      <c r="X195">
        <v>1050.95</v>
      </c>
      <c r="Y195">
        <v>95584.35</v>
      </c>
      <c r="Z195">
        <v>8.8170999999999999</v>
      </c>
      <c r="AA195">
        <v>8.6051000000000002</v>
      </c>
      <c r="AB195">
        <v>9.2780000000000005</v>
      </c>
      <c r="AC195">
        <v>7.8840000000000003</v>
      </c>
      <c r="AD195">
        <v>7.2823000000000002</v>
      </c>
      <c r="AE195">
        <v>6.5469999999999997</v>
      </c>
      <c r="AF195">
        <v>6.4</v>
      </c>
      <c r="AG195">
        <v>1.1371</v>
      </c>
      <c r="AH195">
        <v>111.39</v>
      </c>
      <c r="AI195">
        <v>1.3263</v>
      </c>
      <c r="AJ195">
        <v>1.3171999999999999</v>
      </c>
      <c r="AK195">
        <v>9.2385999999999999</v>
      </c>
      <c r="AL195">
        <v>0.99819999999999998</v>
      </c>
      <c r="AM195">
        <v>186.63</v>
      </c>
      <c r="AN195">
        <v>92.15</v>
      </c>
      <c r="AO195">
        <v>101.83</v>
      </c>
      <c r="AP195">
        <v>96.32</v>
      </c>
      <c r="AQ195">
        <v>93.57</v>
      </c>
    </row>
    <row r="196" spans="1:43" x14ac:dyDescent="0.25">
      <c r="A196" s="7">
        <v>43553</v>
      </c>
      <c r="B196">
        <v>2.3809</v>
      </c>
      <c r="C196">
        <v>0.77</v>
      </c>
      <c r="D196">
        <v>-0.55500000000000005</v>
      </c>
      <c r="E196">
        <v>-0.17299999999999999</v>
      </c>
      <c r="F196">
        <v>2.2599999999999998</v>
      </c>
      <c r="G196">
        <v>0.62660000000000005</v>
      </c>
      <c r="H196">
        <v>-0.61099999999999999</v>
      </c>
      <c r="I196">
        <v>-0.18</v>
      </c>
      <c r="J196">
        <v>2.4049999999999998</v>
      </c>
      <c r="K196">
        <v>0.99660000000000004</v>
      </c>
      <c r="L196">
        <v>-7.1999999999999995E-2</v>
      </c>
      <c r="M196">
        <v>-9.0999999999999998E-2</v>
      </c>
      <c r="N196">
        <v>13.71</v>
      </c>
      <c r="O196">
        <v>179.661</v>
      </c>
      <c r="P196">
        <v>97.284000000000006</v>
      </c>
      <c r="Q196">
        <v>121.0568</v>
      </c>
      <c r="R196">
        <v>3.9205000000000001</v>
      </c>
      <c r="S196">
        <v>60.14</v>
      </c>
      <c r="T196">
        <v>68.39</v>
      </c>
      <c r="U196">
        <v>342.35</v>
      </c>
      <c r="V196">
        <v>896.25</v>
      </c>
      <c r="W196">
        <v>2107.7399999999998</v>
      </c>
      <c r="X196">
        <v>1058.1300000000001</v>
      </c>
      <c r="Y196">
        <v>95414.55</v>
      </c>
      <c r="Z196">
        <v>8.7771000000000008</v>
      </c>
      <c r="AA196">
        <v>8.5957000000000008</v>
      </c>
      <c r="AB196">
        <v>9.2274999999999991</v>
      </c>
      <c r="AC196">
        <v>7.9130000000000003</v>
      </c>
      <c r="AD196">
        <v>7.3468999999999998</v>
      </c>
      <c r="AE196">
        <v>6.5970000000000004</v>
      </c>
      <c r="AF196">
        <v>6.4</v>
      </c>
      <c r="AG196">
        <v>1.1217999999999999</v>
      </c>
      <c r="AH196">
        <v>110.86</v>
      </c>
      <c r="AI196">
        <v>1.3035000000000001</v>
      </c>
      <c r="AJ196">
        <v>1.3349</v>
      </c>
      <c r="AK196">
        <v>9.2917000000000005</v>
      </c>
      <c r="AL196">
        <v>0.99519999999999997</v>
      </c>
      <c r="AM196">
        <v>186.63</v>
      </c>
      <c r="AN196">
        <v>94.4</v>
      </c>
      <c r="AO196">
        <v>101.24</v>
      </c>
      <c r="AP196">
        <v>95.75</v>
      </c>
      <c r="AQ196">
        <v>97.06</v>
      </c>
    </row>
    <row r="197" spans="1:43" x14ac:dyDescent="0.25">
      <c r="A197" s="7">
        <v>43585</v>
      </c>
      <c r="B197">
        <v>2.4098999999999999</v>
      </c>
      <c r="C197">
        <v>0.74199999999999999</v>
      </c>
      <c r="D197">
        <v>-0.57399999999999995</v>
      </c>
      <c r="E197">
        <v>-0.17699999999999999</v>
      </c>
      <c r="F197">
        <v>2.2660999999999998</v>
      </c>
      <c r="G197">
        <v>0.75749999999999995</v>
      </c>
      <c r="H197">
        <v>-0.59</v>
      </c>
      <c r="I197">
        <v>-0.155</v>
      </c>
      <c r="J197">
        <v>2.5017999999999998</v>
      </c>
      <c r="K197">
        <v>1.1833</v>
      </c>
      <c r="L197">
        <v>1.2E-2</v>
      </c>
      <c r="M197">
        <v>-4.8000000000000001E-2</v>
      </c>
      <c r="N197">
        <v>13.12</v>
      </c>
      <c r="O197">
        <v>172.51</v>
      </c>
      <c r="P197">
        <v>97.478999999999999</v>
      </c>
      <c r="Q197">
        <v>120.7702</v>
      </c>
      <c r="R197">
        <v>3.9209999999999998</v>
      </c>
      <c r="S197">
        <v>63.91</v>
      </c>
      <c r="T197">
        <v>72.8</v>
      </c>
      <c r="U197">
        <v>341.96</v>
      </c>
      <c r="V197">
        <v>859.85</v>
      </c>
      <c r="W197">
        <v>2178.67</v>
      </c>
      <c r="X197">
        <v>1079.24</v>
      </c>
      <c r="Y197">
        <v>96353.33</v>
      </c>
      <c r="Z197">
        <v>8.7979000000000003</v>
      </c>
      <c r="AA197">
        <v>8.5528999999999993</v>
      </c>
      <c r="AB197">
        <v>9.2288999999999994</v>
      </c>
      <c r="AC197">
        <v>7.9507000000000003</v>
      </c>
      <c r="AD197">
        <v>7.3724999999999996</v>
      </c>
      <c r="AE197">
        <v>6.5640999999999998</v>
      </c>
      <c r="AF197">
        <v>6.4</v>
      </c>
      <c r="AG197">
        <v>1.1214999999999999</v>
      </c>
      <c r="AH197">
        <v>111.42</v>
      </c>
      <c r="AI197">
        <v>1.3031999999999999</v>
      </c>
      <c r="AJ197">
        <v>1.3388</v>
      </c>
      <c r="AK197">
        <v>9.4883000000000006</v>
      </c>
      <c r="AL197">
        <v>1.0193000000000001</v>
      </c>
      <c r="AM197">
        <v>186.63</v>
      </c>
      <c r="AN197">
        <v>97.13</v>
      </c>
      <c r="AO197">
        <v>101.86</v>
      </c>
      <c r="AP197">
        <v>95.85</v>
      </c>
      <c r="AQ197">
        <v>97.44</v>
      </c>
    </row>
    <row r="198" spans="1:43" x14ac:dyDescent="0.25">
      <c r="A198" s="7">
        <v>43616</v>
      </c>
      <c r="B198">
        <v>2.3399000000000001</v>
      </c>
      <c r="C198">
        <v>0.73099999999999998</v>
      </c>
      <c r="D198">
        <v>-0.56899999999999995</v>
      </c>
      <c r="E198">
        <v>-0.16</v>
      </c>
      <c r="F198">
        <v>1.9220999999999999</v>
      </c>
      <c r="G198">
        <v>0.59499999999999997</v>
      </c>
      <c r="H198">
        <v>-0.67300000000000004</v>
      </c>
      <c r="I198">
        <v>-0.17799999999999999</v>
      </c>
      <c r="J198">
        <v>2.1246</v>
      </c>
      <c r="K198">
        <v>0.88529999999999998</v>
      </c>
      <c r="L198">
        <v>-0.20399999999999999</v>
      </c>
      <c r="M198">
        <v>-0.1</v>
      </c>
      <c r="N198">
        <v>18.71</v>
      </c>
      <c r="O198">
        <v>181.328</v>
      </c>
      <c r="P198">
        <v>97.75</v>
      </c>
      <c r="Q198">
        <v>122.5117</v>
      </c>
      <c r="R198">
        <v>3.9232</v>
      </c>
      <c r="S198">
        <v>53.5</v>
      </c>
      <c r="T198">
        <v>64.489999999999995</v>
      </c>
      <c r="U198">
        <v>351.63</v>
      </c>
      <c r="V198">
        <v>800.23</v>
      </c>
      <c r="W198">
        <v>2046.25</v>
      </c>
      <c r="X198">
        <v>998</v>
      </c>
      <c r="Y198">
        <v>97030.32</v>
      </c>
      <c r="Z198">
        <v>8.2096</v>
      </c>
      <c r="AA198">
        <v>8.0206</v>
      </c>
      <c r="AB198">
        <v>8.7273999999999994</v>
      </c>
      <c r="AC198">
        <v>7.2933000000000003</v>
      </c>
      <c r="AD198">
        <v>6.7483000000000004</v>
      </c>
      <c r="AE198">
        <v>6.2750000000000004</v>
      </c>
      <c r="AF198">
        <v>6.4</v>
      </c>
      <c r="AG198">
        <v>1.1169</v>
      </c>
      <c r="AH198">
        <v>108.29</v>
      </c>
      <c r="AI198">
        <v>1.2628999999999999</v>
      </c>
      <c r="AJ198">
        <v>1.3515999999999999</v>
      </c>
      <c r="AK198">
        <v>9.4961000000000002</v>
      </c>
      <c r="AL198">
        <v>1.0005999999999999</v>
      </c>
      <c r="AM198">
        <v>186.63</v>
      </c>
      <c r="AN198">
        <v>106.04</v>
      </c>
      <c r="AO198">
        <v>101.81</v>
      </c>
      <c r="AP198">
        <v>97.17</v>
      </c>
      <c r="AQ198">
        <v>97.35</v>
      </c>
    </row>
    <row r="199" spans="1:43" x14ac:dyDescent="0.25">
      <c r="A199" s="7">
        <v>43644</v>
      </c>
      <c r="B199">
        <v>2.0868000000000002</v>
      </c>
      <c r="C199">
        <v>0.74099999999999999</v>
      </c>
      <c r="D199">
        <v>-0.60299999999999998</v>
      </c>
      <c r="E199">
        <v>-0.126</v>
      </c>
      <c r="F199">
        <v>1.7548999999999999</v>
      </c>
      <c r="G199">
        <v>0.61029999999999995</v>
      </c>
      <c r="H199">
        <v>-0.75800000000000001</v>
      </c>
      <c r="I199">
        <v>-0.224</v>
      </c>
      <c r="J199">
        <v>2.0051000000000001</v>
      </c>
      <c r="K199">
        <v>0.83130000000000004</v>
      </c>
      <c r="L199">
        <v>-0.32900000000000001</v>
      </c>
      <c r="M199">
        <v>-0.16400000000000001</v>
      </c>
      <c r="N199">
        <v>15.08</v>
      </c>
      <c r="O199">
        <v>150.404</v>
      </c>
      <c r="P199">
        <v>96.13</v>
      </c>
      <c r="Q199">
        <v>122.5521</v>
      </c>
      <c r="R199">
        <v>3.8498999999999999</v>
      </c>
      <c r="S199">
        <v>58.47</v>
      </c>
      <c r="T199">
        <v>66.55</v>
      </c>
      <c r="U199">
        <v>347.78</v>
      </c>
      <c r="V199">
        <v>776.71</v>
      </c>
      <c r="W199">
        <v>2178.35</v>
      </c>
      <c r="X199">
        <v>1054.8599999999999</v>
      </c>
      <c r="Y199">
        <v>100967.2</v>
      </c>
      <c r="Z199">
        <v>7.2815000000000003</v>
      </c>
      <c r="AA199">
        <v>7.0232999999999999</v>
      </c>
      <c r="AB199">
        <v>7.7072000000000003</v>
      </c>
      <c r="AC199">
        <v>6.4984000000000002</v>
      </c>
      <c r="AD199">
        <v>6.0785999999999998</v>
      </c>
      <c r="AE199">
        <v>5.81</v>
      </c>
      <c r="AF199">
        <v>6.4</v>
      </c>
      <c r="AG199">
        <v>1.1373</v>
      </c>
      <c r="AH199">
        <v>107.85</v>
      </c>
      <c r="AI199">
        <v>1.2696000000000001</v>
      </c>
      <c r="AJ199">
        <v>1.3095000000000001</v>
      </c>
      <c r="AK199">
        <v>9.2844999999999995</v>
      </c>
      <c r="AL199">
        <v>0.97629999999999995</v>
      </c>
      <c r="AM199">
        <v>186.63</v>
      </c>
      <c r="AN199">
        <v>99.99</v>
      </c>
      <c r="AO199">
        <v>100.81</v>
      </c>
      <c r="AP199">
        <v>96.54</v>
      </c>
      <c r="AQ199">
        <v>94.36</v>
      </c>
    </row>
    <row r="200" spans="1:43" x14ac:dyDescent="0.25">
      <c r="A200" s="7">
        <v>43677</v>
      </c>
      <c r="B200">
        <v>2.0615999999999999</v>
      </c>
      <c r="C200">
        <v>0.71399999999999997</v>
      </c>
      <c r="D200">
        <v>-0.59899999999999998</v>
      </c>
      <c r="E200">
        <v>-0.123</v>
      </c>
      <c r="F200">
        <v>1.8721000000000001</v>
      </c>
      <c r="G200">
        <v>0.42709999999999998</v>
      </c>
      <c r="H200">
        <v>-0.78500000000000003</v>
      </c>
      <c r="I200">
        <v>-0.21</v>
      </c>
      <c r="J200">
        <v>2.0144000000000002</v>
      </c>
      <c r="K200">
        <v>0.60929999999999995</v>
      </c>
      <c r="L200">
        <v>-0.442</v>
      </c>
      <c r="M200">
        <v>-0.159</v>
      </c>
      <c r="N200">
        <v>16.12</v>
      </c>
      <c r="O200">
        <v>127.2</v>
      </c>
      <c r="P200">
        <v>98.516000000000005</v>
      </c>
      <c r="Q200">
        <v>121.65089999999999</v>
      </c>
      <c r="R200">
        <v>3.8148</v>
      </c>
      <c r="S200">
        <v>58.58</v>
      </c>
      <c r="T200">
        <v>65.17</v>
      </c>
      <c r="U200">
        <v>346.52</v>
      </c>
      <c r="V200">
        <v>748.29</v>
      </c>
      <c r="W200">
        <v>2187.56</v>
      </c>
      <c r="X200">
        <v>1037.01</v>
      </c>
      <c r="Y200">
        <v>101812.1</v>
      </c>
      <c r="Z200">
        <v>6.9759000000000002</v>
      </c>
      <c r="AA200">
        <v>6.8173000000000004</v>
      </c>
      <c r="AB200">
        <v>7.4843999999999999</v>
      </c>
      <c r="AC200">
        <v>6.1798000000000002</v>
      </c>
      <c r="AD200">
        <v>5.7511000000000001</v>
      </c>
      <c r="AE200">
        <v>5.4306999999999999</v>
      </c>
      <c r="AF200">
        <v>6.4</v>
      </c>
      <c r="AG200">
        <v>1.1075999999999999</v>
      </c>
      <c r="AH200">
        <v>108.78</v>
      </c>
      <c r="AI200">
        <v>1.2159</v>
      </c>
      <c r="AJ200">
        <v>1.3190999999999999</v>
      </c>
      <c r="AK200">
        <v>9.6652000000000005</v>
      </c>
      <c r="AL200">
        <v>0.99399999999999999</v>
      </c>
      <c r="AM200">
        <v>186.63</v>
      </c>
      <c r="AN200">
        <v>108.88</v>
      </c>
      <c r="AO200">
        <v>100.29</v>
      </c>
      <c r="AP200">
        <v>96.31</v>
      </c>
      <c r="AQ200">
        <v>99.95</v>
      </c>
    </row>
    <row r="201" spans="1:43" x14ac:dyDescent="0.25">
      <c r="A201" s="7">
        <v>43707</v>
      </c>
      <c r="B201">
        <v>1.9764999999999999</v>
      </c>
      <c r="C201">
        <v>0.73599999999999999</v>
      </c>
      <c r="D201">
        <v>-0.74</v>
      </c>
      <c r="E201">
        <v>-0.17</v>
      </c>
      <c r="F201">
        <v>1.504</v>
      </c>
      <c r="G201">
        <v>0.38429999999999997</v>
      </c>
      <c r="H201">
        <v>-0.93300000000000005</v>
      </c>
      <c r="I201">
        <v>-0.308</v>
      </c>
      <c r="J201">
        <v>1.4961</v>
      </c>
      <c r="K201">
        <v>0.47739999999999999</v>
      </c>
      <c r="L201">
        <v>-0.70199999999999996</v>
      </c>
      <c r="M201">
        <v>-0.27600000000000002</v>
      </c>
      <c r="N201">
        <v>18.98</v>
      </c>
      <c r="O201">
        <v>135.54900000000001</v>
      </c>
      <c r="P201">
        <v>98.915999999999997</v>
      </c>
      <c r="Q201">
        <v>125.0817</v>
      </c>
      <c r="R201">
        <v>4.1452999999999998</v>
      </c>
      <c r="S201">
        <v>55.1</v>
      </c>
      <c r="T201">
        <v>60.43</v>
      </c>
      <c r="U201">
        <v>317.41000000000003</v>
      </c>
      <c r="V201">
        <v>734.62</v>
      </c>
      <c r="W201">
        <v>2138.52</v>
      </c>
      <c r="X201">
        <v>984.33</v>
      </c>
      <c r="Y201">
        <v>101134.6</v>
      </c>
      <c r="Z201">
        <v>7.2064000000000004</v>
      </c>
      <c r="AA201">
        <v>7.0530999999999997</v>
      </c>
      <c r="AB201">
        <v>7.6731999999999996</v>
      </c>
      <c r="AC201">
        <v>6.4501999999999997</v>
      </c>
      <c r="AD201">
        <v>5.9424000000000001</v>
      </c>
      <c r="AE201">
        <v>5.391</v>
      </c>
      <c r="AF201">
        <v>5.9</v>
      </c>
      <c r="AG201">
        <v>1.0982000000000001</v>
      </c>
      <c r="AH201">
        <v>106.28</v>
      </c>
      <c r="AI201">
        <v>1.2156</v>
      </c>
      <c r="AJ201">
        <v>1.3310999999999999</v>
      </c>
      <c r="AK201">
        <v>9.8404000000000007</v>
      </c>
      <c r="AL201">
        <v>0.99039999999999995</v>
      </c>
      <c r="AM201">
        <v>186.63</v>
      </c>
      <c r="AN201">
        <v>112.11</v>
      </c>
      <c r="AO201">
        <v>101.35</v>
      </c>
      <c r="AP201">
        <v>96.58</v>
      </c>
      <c r="AQ201">
        <v>99.28</v>
      </c>
    </row>
    <row r="202" spans="1:43" x14ac:dyDescent="0.25">
      <c r="A202" s="7">
        <v>43738</v>
      </c>
      <c r="B202">
        <v>1.8070999999999999</v>
      </c>
      <c r="C202">
        <v>0.76300000000000001</v>
      </c>
      <c r="D202">
        <v>-0.59799999999999998</v>
      </c>
      <c r="E202">
        <v>-0.377</v>
      </c>
      <c r="F202">
        <v>1.6216999999999999</v>
      </c>
      <c r="G202">
        <v>0.36399999999999999</v>
      </c>
      <c r="H202">
        <v>-0.77300000000000002</v>
      </c>
      <c r="I202">
        <v>-0.32400000000000001</v>
      </c>
      <c r="J202">
        <v>1.6646000000000001</v>
      </c>
      <c r="K202">
        <v>0.48309999999999997</v>
      </c>
      <c r="L202">
        <v>-0.57299999999999995</v>
      </c>
      <c r="M202">
        <v>-0.22</v>
      </c>
      <c r="N202">
        <v>16.239999999999998</v>
      </c>
      <c r="O202">
        <v>136.542</v>
      </c>
      <c r="P202">
        <v>99.376999999999995</v>
      </c>
      <c r="Q202">
        <v>125.06019999999999</v>
      </c>
      <c r="R202">
        <v>4.1562000000000001</v>
      </c>
      <c r="S202">
        <v>54.07</v>
      </c>
      <c r="T202">
        <v>60.78</v>
      </c>
      <c r="U202">
        <v>323.11</v>
      </c>
      <c r="V202">
        <v>720.49</v>
      </c>
      <c r="W202">
        <v>2180.02</v>
      </c>
      <c r="X202">
        <v>1001</v>
      </c>
      <c r="Y202">
        <v>104745.3</v>
      </c>
      <c r="Z202">
        <v>6.8079000000000001</v>
      </c>
      <c r="AA202">
        <v>6.6203000000000003</v>
      </c>
      <c r="AB202">
        <v>7.2919999999999998</v>
      </c>
      <c r="AC202">
        <v>5.97</v>
      </c>
      <c r="AD202">
        <v>5.44</v>
      </c>
      <c r="AE202">
        <v>4.8691000000000004</v>
      </c>
      <c r="AF202">
        <v>5.4</v>
      </c>
      <c r="AG202">
        <v>1.0899000000000001</v>
      </c>
      <c r="AH202">
        <v>108.08</v>
      </c>
      <c r="AI202">
        <v>1.2289000000000001</v>
      </c>
      <c r="AJ202">
        <v>1.3241000000000001</v>
      </c>
      <c r="AK202">
        <v>9.8402999999999992</v>
      </c>
      <c r="AL202">
        <v>0.99770000000000003</v>
      </c>
      <c r="AM202">
        <v>186.63</v>
      </c>
      <c r="AN202">
        <v>106.94</v>
      </c>
      <c r="AO202">
        <v>101.35</v>
      </c>
      <c r="AP202">
        <v>96.93</v>
      </c>
      <c r="AQ202">
        <v>96.52</v>
      </c>
    </row>
    <row r="203" spans="1:43" x14ac:dyDescent="0.25">
      <c r="A203" s="7">
        <v>43769</v>
      </c>
      <c r="B203">
        <v>1.524</v>
      </c>
      <c r="C203">
        <v>0.75600000000000001</v>
      </c>
      <c r="D203">
        <v>-0.64300000000000002</v>
      </c>
      <c r="E203">
        <v>-0.19800000000000001</v>
      </c>
      <c r="F203">
        <v>1.5239</v>
      </c>
      <c r="G203">
        <v>0.49859999999999999</v>
      </c>
      <c r="H203">
        <v>-0.66800000000000004</v>
      </c>
      <c r="I203">
        <v>-0.23699999999999999</v>
      </c>
      <c r="J203">
        <v>1.6910000000000001</v>
      </c>
      <c r="K203">
        <v>0.62719999999999998</v>
      </c>
      <c r="L203">
        <v>-0.40899999999999997</v>
      </c>
      <c r="M203">
        <v>-0.14299999999999999</v>
      </c>
      <c r="N203">
        <v>13.22</v>
      </c>
      <c r="O203">
        <v>120.43</v>
      </c>
      <c r="P203">
        <v>97.352000000000004</v>
      </c>
      <c r="Q203">
        <v>124.35590000000001</v>
      </c>
      <c r="R203">
        <v>4.0183</v>
      </c>
      <c r="S203">
        <v>54.18</v>
      </c>
      <c r="T203">
        <v>60.23</v>
      </c>
      <c r="U203">
        <v>329.28</v>
      </c>
      <c r="V203">
        <v>722.86</v>
      </c>
      <c r="W203">
        <v>2233.5300000000002</v>
      </c>
      <c r="X203">
        <v>1041.98</v>
      </c>
      <c r="Y203">
        <v>107219.8</v>
      </c>
      <c r="Z203">
        <v>6.1982999999999997</v>
      </c>
      <c r="AA203">
        <v>6.0056000000000003</v>
      </c>
      <c r="AB203">
        <v>6.7519999999999998</v>
      </c>
      <c r="AC203">
        <v>5.3365</v>
      </c>
      <c r="AD203">
        <v>4.8731</v>
      </c>
      <c r="AE203">
        <v>4.4702000000000002</v>
      </c>
      <c r="AF203">
        <v>4.9000000000000004</v>
      </c>
      <c r="AG203">
        <v>1.1152</v>
      </c>
      <c r="AH203">
        <v>108.03</v>
      </c>
      <c r="AI203">
        <v>1.2942</v>
      </c>
      <c r="AJ203">
        <v>1.3164</v>
      </c>
      <c r="AK203">
        <v>9.6519999999999992</v>
      </c>
      <c r="AL203">
        <v>0.98640000000000005</v>
      </c>
      <c r="AM203">
        <v>186.63</v>
      </c>
      <c r="AN203">
        <v>113.06</v>
      </c>
      <c r="AO203">
        <v>103.67</v>
      </c>
      <c r="AP203">
        <v>98.07</v>
      </c>
      <c r="AQ203">
        <v>99.93</v>
      </c>
    </row>
    <row r="204" spans="1:43" x14ac:dyDescent="0.25">
      <c r="A204" s="7">
        <v>43798</v>
      </c>
      <c r="B204">
        <v>1.5671999999999999</v>
      </c>
      <c r="C204">
        <v>0.70599999999999996</v>
      </c>
      <c r="D204">
        <v>-0.65300000000000002</v>
      </c>
      <c r="E204">
        <v>-0.17499999999999999</v>
      </c>
      <c r="F204">
        <v>1.6119000000000001</v>
      </c>
      <c r="G204">
        <v>0.53990000000000005</v>
      </c>
      <c r="H204">
        <v>-0.63600000000000001</v>
      </c>
      <c r="I204">
        <v>-0.17699999999999999</v>
      </c>
      <c r="J204">
        <v>1.7758</v>
      </c>
      <c r="K204">
        <v>0.69579999999999997</v>
      </c>
      <c r="L204">
        <v>-0.36199999999999999</v>
      </c>
      <c r="M204">
        <v>-8.2000000000000003E-2</v>
      </c>
      <c r="N204">
        <v>12.62</v>
      </c>
      <c r="O204">
        <v>124.73099999999999</v>
      </c>
      <c r="P204">
        <v>98.272999999999996</v>
      </c>
      <c r="Q204">
        <v>123.9795</v>
      </c>
      <c r="R204">
        <v>4.2371999999999996</v>
      </c>
      <c r="S204">
        <v>55.17</v>
      </c>
      <c r="T204">
        <v>62.43</v>
      </c>
      <c r="U204">
        <v>324.26</v>
      </c>
      <c r="V204">
        <v>724.89</v>
      </c>
      <c r="W204">
        <v>2292.2600000000002</v>
      </c>
      <c r="X204">
        <v>1040.05</v>
      </c>
      <c r="Y204">
        <v>108233.3</v>
      </c>
      <c r="Z204">
        <v>6.6779000000000002</v>
      </c>
      <c r="AA204">
        <v>6.5102000000000002</v>
      </c>
      <c r="AB204">
        <v>7.1959999999999997</v>
      </c>
      <c r="AC204">
        <v>5.8609</v>
      </c>
      <c r="AD204">
        <v>5.3090000000000002</v>
      </c>
      <c r="AE204">
        <v>4.6631999999999998</v>
      </c>
      <c r="AF204">
        <v>4.9000000000000004</v>
      </c>
      <c r="AG204">
        <v>1.1017999999999999</v>
      </c>
      <c r="AH204">
        <v>109.49</v>
      </c>
      <c r="AI204">
        <v>1.2925</v>
      </c>
      <c r="AJ204">
        <v>1.3282</v>
      </c>
      <c r="AK204">
        <v>9.5749999999999993</v>
      </c>
      <c r="AL204">
        <v>1.0002</v>
      </c>
      <c r="AM204">
        <v>186.63</v>
      </c>
      <c r="AN204">
        <v>102.51</v>
      </c>
      <c r="AO204">
        <v>101.22</v>
      </c>
      <c r="AP204">
        <v>97.86</v>
      </c>
      <c r="AQ204">
        <v>97.13</v>
      </c>
    </row>
    <row r="205" spans="1:43" x14ac:dyDescent="0.25">
      <c r="A205" s="7">
        <v>43830</v>
      </c>
      <c r="B205">
        <v>1.5436000000000001</v>
      </c>
      <c r="C205">
        <v>0.68899999999999995</v>
      </c>
      <c r="D205">
        <v>-0.76300000000000001</v>
      </c>
      <c r="E205">
        <v>-0.11</v>
      </c>
      <c r="F205">
        <v>1.5690999999999999</v>
      </c>
      <c r="G205">
        <v>0.53069999999999995</v>
      </c>
      <c r="H205">
        <v>-0.61199999999999999</v>
      </c>
      <c r="I205">
        <v>-0.13400000000000001</v>
      </c>
      <c r="J205">
        <v>1.9175</v>
      </c>
      <c r="K205">
        <v>0.81689999999999996</v>
      </c>
      <c r="L205">
        <v>-0.188</v>
      </c>
      <c r="M205">
        <v>-0.02</v>
      </c>
      <c r="N205">
        <v>13.78</v>
      </c>
      <c r="O205">
        <v>99.45</v>
      </c>
      <c r="P205">
        <v>96.388999999999996</v>
      </c>
      <c r="Q205">
        <v>123.392</v>
      </c>
      <c r="R205">
        <v>4.0304000000000002</v>
      </c>
      <c r="S205">
        <v>61.06</v>
      </c>
      <c r="T205">
        <v>66</v>
      </c>
      <c r="U205">
        <v>338.48</v>
      </c>
      <c r="V205">
        <v>752.11</v>
      </c>
      <c r="W205">
        <v>2358.4699999999998</v>
      </c>
      <c r="X205">
        <v>1114.6600000000001</v>
      </c>
      <c r="Y205">
        <v>115645.3</v>
      </c>
      <c r="Z205">
        <v>6.6006999999999998</v>
      </c>
      <c r="AA205">
        <v>6.4314999999999998</v>
      </c>
      <c r="AB205">
        <v>7.0143000000000004</v>
      </c>
      <c r="AC205">
        <v>5.7919999999999998</v>
      </c>
      <c r="AD205">
        <v>5.28</v>
      </c>
      <c r="AE205">
        <v>4.5576999999999996</v>
      </c>
      <c r="AF205">
        <v>4.4000000000000004</v>
      </c>
      <c r="AG205">
        <v>1.1213</v>
      </c>
      <c r="AH205">
        <v>108.61</v>
      </c>
      <c r="AI205">
        <v>1.3257000000000001</v>
      </c>
      <c r="AJ205">
        <v>1.2989999999999999</v>
      </c>
      <c r="AK205">
        <v>9.3650000000000002</v>
      </c>
      <c r="AL205">
        <v>0.96660000000000001</v>
      </c>
      <c r="AM205">
        <v>186.63</v>
      </c>
      <c r="AN205">
        <v>89.65</v>
      </c>
      <c r="AO205">
        <v>99.8</v>
      </c>
      <c r="AP205">
        <v>97.52</v>
      </c>
      <c r="AQ205">
        <v>96.43</v>
      </c>
    </row>
    <row r="206" spans="1:43" x14ac:dyDescent="0.25">
      <c r="A206" s="7">
        <v>43861</v>
      </c>
      <c r="B206">
        <v>1.5382</v>
      </c>
      <c r="C206">
        <v>0.69699999999999995</v>
      </c>
      <c r="D206">
        <v>-0.59699999999999998</v>
      </c>
      <c r="E206">
        <v>-0.13400000000000001</v>
      </c>
      <c r="F206">
        <v>1.3131999999999999</v>
      </c>
      <c r="G206">
        <v>0.5</v>
      </c>
      <c r="H206">
        <v>-0.67400000000000004</v>
      </c>
      <c r="I206">
        <v>-0.156</v>
      </c>
      <c r="J206">
        <v>1.5067999999999999</v>
      </c>
      <c r="K206">
        <v>0.52329999999999999</v>
      </c>
      <c r="L206">
        <v>-0.436</v>
      </c>
      <c r="M206">
        <v>-7.1999999999999995E-2</v>
      </c>
      <c r="N206">
        <v>18.84</v>
      </c>
      <c r="O206">
        <v>102.65300000000001</v>
      </c>
      <c r="P206">
        <v>97.39</v>
      </c>
      <c r="Q206">
        <v>122.21129999999999</v>
      </c>
      <c r="R206">
        <v>4.2828999999999997</v>
      </c>
      <c r="S206">
        <v>51.56</v>
      </c>
      <c r="T206">
        <v>58.16</v>
      </c>
      <c r="U206">
        <v>336.02</v>
      </c>
      <c r="V206">
        <v>743.9</v>
      </c>
      <c r="W206">
        <v>2342.41</v>
      </c>
      <c r="X206">
        <v>1062.3399999999999</v>
      </c>
      <c r="Y206">
        <v>113760.6</v>
      </c>
      <c r="Z206">
        <v>6.4497999999999998</v>
      </c>
      <c r="AA206">
        <v>6.2324000000000002</v>
      </c>
      <c r="AB206">
        <v>6.9863999999999997</v>
      </c>
      <c r="AC206">
        <v>5.5697999999999999</v>
      </c>
      <c r="AD206">
        <v>5.0633999999999997</v>
      </c>
      <c r="AE206">
        <v>4.4267000000000003</v>
      </c>
      <c r="AF206">
        <v>4.4000000000000004</v>
      </c>
      <c r="AG206">
        <v>1.1093</v>
      </c>
      <c r="AH206">
        <v>108.35</v>
      </c>
      <c r="AI206">
        <v>1.3206</v>
      </c>
      <c r="AJ206">
        <v>1.3237000000000001</v>
      </c>
      <c r="AK206">
        <v>9.6248000000000005</v>
      </c>
      <c r="AL206">
        <v>0.96340000000000003</v>
      </c>
      <c r="AM206">
        <v>186.63</v>
      </c>
      <c r="AN206">
        <v>93.25</v>
      </c>
      <c r="AO206">
        <v>101.17</v>
      </c>
      <c r="AP206">
        <v>97.57</v>
      </c>
      <c r="AQ206">
        <v>93.67</v>
      </c>
    </row>
    <row r="207" spans="1:43" x14ac:dyDescent="0.25">
      <c r="A207" s="7">
        <v>43889</v>
      </c>
      <c r="B207">
        <v>1.2669999999999999</v>
      </c>
      <c r="C207">
        <v>0.63800000000000001</v>
      </c>
      <c r="D207">
        <v>-0.64200000000000002</v>
      </c>
      <c r="E207">
        <v>-0.17199999999999999</v>
      </c>
      <c r="F207">
        <v>0.91300000000000003</v>
      </c>
      <c r="G207">
        <v>0.30570000000000003</v>
      </c>
      <c r="H207">
        <v>-0.77600000000000002</v>
      </c>
      <c r="I207">
        <v>-0.25900000000000001</v>
      </c>
      <c r="J207">
        <v>1.1486000000000001</v>
      </c>
      <c r="K207">
        <v>0.44059999999999999</v>
      </c>
      <c r="L207">
        <v>-0.60899999999999999</v>
      </c>
      <c r="M207">
        <v>-0.159</v>
      </c>
      <c r="N207">
        <v>40.11</v>
      </c>
      <c r="O207">
        <v>131.97499999999999</v>
      </c>
      <c r="P207">
        <v>98.132000000000005</v>
      </c>
      <c r="Q207">
        <v>123.52509999999999</v>
      </c>
      <c r="R207">
        <v>4.4720000000000004</v>
      </c>
      <c r="S207">
        <v>44.76</v>
      </c>
      <c r="T207">
        <v>50.52</v>
      </c>
      <c r="U207">
        <v>325.54000000000002</v>
      </c>
      <c r="V207">
        <v>719.26</v>
      </c>
      <c r="W207">
        <v>2141.12</v>
      </c>
      <c r="X207">
        <v>1005.52</v>
      </c>
      <c r="Y207">
        <v>104171.6</v>
      </c>
      <c r="Z207">
        <v>6.3197000000000001</v>
      </c>
      <c r="AA207">
        <v>6.1898999999999997</v>
      </c>
      <c r="AB207">
        <v>7.0622999999999996</v>
      </c>
      <c r="AC207">
        <v>5.3356000000000003</v>
      </c>
      <c r="AD207">
        <v>4.7134</v>
      </c>
      <c r="AE207">
        <v>4.1577999999999999</v>
      </c>
      <c r="AF207">
        <v>4.1500000000000004</v>
      </c>
      <c r="AG207">
        <v>1.1026</v>
      </c>
      <c r="AH207">
        <v>107.89</v>
      </c>
      <c r="AI207">
        <v>1.2823</v>
      </c>
      <c r="AJ207">
        <v>1.3407</v>
      </c>
      <c r="AK207">
        <v>9.6050000000000004</v>
      </c>
      <c r="AL207">
        <v>0.96489999999999998</v>
      </c>
      <c r="AM207">
        <v>186.63</v>
      </c>
      <c r="AN207">
        <v>91.9</v>
      </c>
      <c r="AO207">
        <v>101.86</v>
      </c>
      <c r="AP207">
        <v>97.75</v>
      </c>
      <c r="AQ207">
        <v>93.96</v>
      </c>
    </row>
    <row r="208" spans="1:43" x14ac:dyDescent="0.25">
      <c r="A208" s="7">
        <v>43921</v>
      </c>
      <c r="B208">
        <v>6.0999999999999999E-2</v>
      </c>
      <c r="C208">
        <v>0.16400000000000001</v>
      </c>
      <c r="D208">
        <v>-0.70899999999999996</v>
      </c>
      <c r="E208">
        <v>-0.30099999999999999</v>
      </c>
      <c r="F208">
        <v>0.2455</v>
      </c>
      <c r="G208">
        <v>0.12330000000000001</v>
      </c>
      <c r="H208">
        <v>-0.70199999999999996</v>
      </c>
      <c r="I208">
        <v>-0.15</v>
      </c>
      <c r="J208">
        <v>0.66949999999999998</v>
      </c>
      <c r="K208">
        <v>0.35270000000000001</v>
      </c>
      <c r="L208">
        <v>-0.47399999999999998</v>
      </c>
      <c r="M208">
        <v>1.2E-2</v>
      </c>
      <c r="N208">
        <v>53.54</v>
      </c>
      <c r="O208">
        <v>275.95</v>
      </c>
      <c r="P208">
        <v>99.048000000000002</v>
      </c>
      <c r="Q208">
        <v>131.19110000000001</v>
      </c>
      <c r="R208">
        <v>5.2058999999999997</v>
      </c>
      <c r="S208">
        <v>20.48</v>
      </c>
      <c r="T208">
        <v>22.74</v>
      </c>
      <c r="U208">
        <v>308.22000000000003</v>
      </c>
      <c r="V208">
        <v>665.18</v>
      </c>
      <c r="W208">
        <v>1852.73</v>
      </c>
      <c r="X208">
        <v>848.58</v>
      </c>
      <c r="Y208">
        <v>73019.759999999995</v>
      </c>
      <c r="Z208">
        <v>6.9272</v>
      </c>
      <c r="AA208">
        <v>6.8552</v>
      </c>
      <c r="AB208">
        <v>8.0838999999999999</v>
      </c>
      <c r="AC208">
        <v>5.5739999999999998</v>
      </c>
      <c r="AD208">
        <v>4.3655999999999997</v>
      </c>
      <c r="AE208">
        <v>3.3433000000000002</v>
      </c>
      <c r="AF208">
        <v>3.65</v>
      </c>
      <c r="AG208">
        <v>1.1031</v>
      </c>
      <c r="AH208">
        <v>107.54</v>
      </c>
      <c r="AI208">
        <v>1.242</v>
      </c>
      <c r="AJ208">
        <v>1.4061999999999999</v>
      </c>
      <c r="AK208">
        <v>9.9052000000000007</v>
      </c>
      <c r="AL208">
        <v>0.96109999999999995</v>
      </c>
      <c r="AM208">
        <v>186.63</v>
      </c>
      <c r="AN208">
        <v>90.76</v>
      </c>
      <c r="AO208">
        <v>94</v>
      </c>
      <c r="AP208">
        <v>91.17</v>
      </c>
      <c r="AQ208">
        <v>95.29</v>
      </c>
    </row>
    <row r="209" spans="1:43" x14ac:dyDescent="0.25">
      <c r="A209" s="7">
        <v>43951</v>
      </c>
      <c r="B209">
        <v>7.8799999999999995E-2</v>
      </c>
      <c r="C209">
        <v>0.11700000000000001</v>
      </c>
      <c r="D209">
        <v>-0.59899999999999998</v>
      </c>
      <c r="E209">
        <v>-0.15</v>
      </c>
      <c r="F209">
        <v>0.1956</v>
      </c>
      <c r="G209">
        <v>9.4000000000000004E-3</v>
      </c>
      <c r="H209">
        <v>-0.77700000000000002</v>
      </c>
      <c r="I209">
        <v>-0.18099999999999999</v>
      </c>
      <c r="J209">
        <v>0.63929999999999998</v>
      </c>
      <c r="K209">
        <v>0.22850000000000001</v>
      </c>
      <c r="L209">
        <v>-0.58899999999999997</v>
      </c>
      <c r="M209">
        <v>-3.7999999999999999E-2</v>
      </c>
      <c r="N209">
        <v>34.15</v>
      </c>
      <c r="O209">
        <v>308.18</v>
      </c>
      <c r="P209">
        <v>99.016000000000005</v>
      </c>
      <c r="Q209">
        <v>134.97829999999999</v>
      </c>
      <c r="R209">
        <v>5.4866000000000001</v>
      </c>
      <c r="S209">
        <v>18.84</v>
      </c>
      <c r="T209">
        <v>25.27</v>
      </c>
      <c r="U209">
        <v>282.36</v>
      </c>
      <c r="V209">
        <v>629.55999999999995</v>
      </c>
      <c r="W209">
        <v>2052.85</v>
      </c>
      <c r="X209">
        <v>924.94</v>
      </c>
      <c r="Y209">
        <v>80505.89</v>
      </c>
      <c r="Z209">
        <v>6.8974000000000002</v>
      </c>
      <c r="AA209">
        <v>6.6656000000000004</v>
      </c>
      <c r="AB209">
        <v>8.1752000000000002</v>
      </c>
      <c r="AC209">
        <v>5.1715999999999998</v>
      </c>
      <c r="AD209">
        <v>4.0236999999999998</v>
      </c>
      <c r="AE209">
        <v>2.9775999999999998</v>
      </c>
      <c r="AF209">
        <v>3.65</v>
      </c>
      <c r="AG209">
        <v>1.0954999999999999</v>
      </c>
      <c r="AH209">
        <v>107.18</v>
      </c>
      <c r="AI209">
        <v>1.2594000000000001</v>
      </c>
      <c r="AJ209">
        <v>1.3945000000000001</v>
      </c>
      <c r="AK209">
        <v>9.7578999999999994</v>
      </c>
      <c r="AL209">
        <v>0.96530000000000005</v>
      </c>
      <c r="AM209">
        <v>186.63</v>
      </c>
      <c r="AN209">
        <v>70.25</v>
      </c>
      <c r="AO209">
        <v>75.48</v>
      </c>
      <c r="AP209">
        <v>83</v>
      </c>
      <c r="AQ209">
        <v>83.57</v>
      </c>
    </row>
    <row r="210" spans="1:43" x14ac:dyDescent="0.25">
      <c r="A210" s="7">
        <v>43980</v>
      </c>
      <c r="B210">
        <v>0.1246</v>
      </c>
      <c r="C210">
        <v>6.3E-2</v>
      </c>
      <c r="D210">
        <v>-0.55800000000000005</v>
      </c>
      <c r="E210">
        <v>-0.122</v>
      </c>
      <c r="F210">
        <v>0.1603</v>
      </c>
      <c r="G210">
        <v>-4.9700000000000001E-2</v>
      </c>
      <c r="H210">
        <v>-0.66800000000000004</v>
      </c>
      <c r="I210">
        <v>-0.16300000000000001</v>
      </c>
      <c r="J210">
        <v>0.65259999999999996</v>
      </c>
      <c r="K210">
        <v>0.18240000000000001</v>
      </c>
      <c r="L210">
        <v>-0.44900000000000001</v>
      </c>
      <c r="M210">
        <v>-3.0000000000000001E-3</v>
      </c>
      <c r="N210">
        <v>27.51</v>
      </c>
      <c r="O210">
        <v>283.94</v>
      </c>
      <c r="P210">
        <v>98.343999999999994</v>
      </c>
      <c r="Q210">
        <v>134.02789999999999</v>
      </c>
      <c r="R210">
        <v>5.3362999999999996</v>
      </c>
      <c r="S210">
        <v>35.49</v>
      </c>
      <c r="T210">
        <v>35.33</v>
      </c>
      <c r="U210">
        <v>305.82</v>
      </c>
      <c r="V210">
        <v>656.98</v>
      </c>
      <c r="W210">
        <v>2147.88</v>
      </c>
      <c r="X210">
        <v>930.35</v>
      </c>
      <c r="Y210">
        <v>87402.59</v>
      </c>
      <c r="Z210">
        <v>6.7393999999999998</v>
      </c>
      <c r="AA210">
        <v>6.1767000000000003</v>
      </c>
      <c r="AB210">
        <v>7.7144000000000004</v>
      </c>
      <c r="AC210">
        <v>4.6817000000000002</v>
      </c>
      <c r="AD210">
        <v>3.6143000000000001</v>
      </c>
      <c r="AE210">
        <v>2.5434000000000001</v>
      </c>
      <c r="AF210">
        <v>2.9</v>
      </c>
      <c r="AG210">
        <v>1.1101000000000001</v>
      </c>
      <c r="AH210">
        <v>107.83</v>
      </c>
      <c r="AI210">
        <v>1.2343</v>
      </c>
      <c r="AJ210">
        <v>1.3779999999999999</v>
      </c>
      <c r="AK210">
        <v>9.4320000000000004</v>
      </c>
      <c r="AL210">
        <v>0.96160000000000001</v>
      </c>
      <c r="AM210">
        <v>186.63</v>
      </c>
      <c r="AN210">
        <v>82.94</v>
      </c>
      <c r="AO210">
        <v>81.34</v>
      </c>
      <c r="AP210">
        <v>85.61</v>
      </c>
      <c r="AQ210">
        <v>84.26</v>
      </c>
    </row>
    <row r="211" spans="1:43" x14ac:dyDescent="0.25">
      <c r="A211" s="7">
        <v>44012</v>
      </c>
      <c r="B211">
        <v>0.1293</v>
      </c>
      <c r="C211">
        <v>1.2999999999999999E-2</v>
      </c>
      <c r="D211">
        <v>-0.56299999999999994</v>
      </c>
      <c r="E211">
        <v>-0.13200000000000001</v>
      </c>
      <c r="F211">
        <v>0.14849999999999999</v>
      </c>
      <c r="G211">
        <v>-9.0499999999999997E-2</v>
      </c>
      <c r="H211">
        <v>-0.69499999999999995</v>
      </c>
      <c r="I211">
        <v>-0.14699999999999999</v>
      </c>
      <c r="J211">
        <v>0.65610000000000002</v>
      </c>
      <c r="K211">
        <v>0.17050000000000001</v>
      </c>
      <c r="L211">
        <v>-0.45600000000000002</v>
      </c>
      <c r="M211">
        <v>0.02</v>
      </c>
      <c r="N211">
        <v>30.43</v>
      </c>
      <c r="O211">
        <v>256.51400000000001</v>
      </c>
      <c r="P211">
        <v>97.391000000000005</v>
      </c>
      <c r="Q211">
        <v>130.98869999999999</v>
      </c>
      <c r="R211">
        <v>5.4676</v>
      </c>
      <c r="S211">
        <v>39.270000000000003</v>
      </c>
      <c r="T211">
        <v>41.15</v>
      </c>
      <c r="U211">
        <v>290.41000000000003</v>
      </c>
      <c r="V211">
        <v>688.66</v>
      </c>
      <c r="W211">
        <v>2201.79</v>
      </c>
      <c r="X211">
        <v>995.1</v>
      </c>
      <c r="Y211">
        <v>95055.82</v>
      </c>
      <c r="Z211">
        <v>6.4283000000000001</v>
      </c>
      <c r="AA211">
        <v>5.9482999999999997</v>
      </c>
      <c r="AB211">
        <v>7.4218000000000002</v>
      </c>
      <c r="AC211">
        <v>4.5538999999999996</v>
      </c>
      <c r="AD211">
        <v>3.49</v>
      </c>
      <c r="AE211">
        <v>2.37</v>
      </c>
      <c r="AF211">
        <v>2.15</v>
      </c>
      <c r="AG211">
        <v>1.1234</v>
      </c>
      <c r="AH211">
        <v>107.93</v>
      </c>
      <c r="AI211">
        <v>1.2401</v>
      </c>
      <c r="AJ211">
        <v>1.3575999999999999</v>
      </c>
      <c r="AK211">
        <v>9.3210999999999995</v>
      </c>
      <c r="AL211">
        <v>0.94730000000000003</v>
      </c>
      <c r="AM211">
        <v>186.63</v>
      </c>
      <c r="AN211">
        <v>91.34</v>
      </c>
      <c r="AO211">
        <v>89.52</v>
      </c>
      <c r="AP211">
        <v>89.4</v>
      </c>
      <c r="AQ211">
        <v>88.89</v>
      </c>
    </row>
    <row r="212" spans="1:43" x14ac:dyDescent="0.25">
      <c r="A212" s="7">
        <v>44043</v>
      </c>
      <c r="B212">
        <v>8.3699999999999997E-2</v>
      </c>
      <c r="C212">
        <v>0.03</v>
      </c>
      <c r="D212">
        <v>-0.57799999999999996</v>
      </c>
      <c r="E212">
        <v>-8.7999999999999995E-2</v>
      </c>
      <c r="F212">
        <v>0.10539999999999999</v>
      </c>
      <c r="G212">
        <v>-7.3400000000000007E-2</v>
      </c>
      <c r="H212">
        <v>-0.72</v>
      </c>
      <c r="I212">
        <v>-0.14099999999999999</v>
      </c>
      <c r="J212">
        <v>0.5282</v>
      </c>
      <c r="K212">
        <v>0.1031</v>
      </c>
      <c r="L212">
        <v>-0.52500000000000002</v>
      </c>
      <c r="M212">
        <v>1.4E-2</v>
      </c>
      <c r="N212">
        <v>24.46</v>
      </c>
      <c r="O212">
        <v>217.80600000000001</v>
      </c>
      <c r="P212">
        <v>93.349000000000004</v>
      </c>
      <c r="Q212">
        <v>130.6062</v>
      </c>
      <c r="R212">
        <v>5.2210000000000001</v>
      </c>
      <c r="S212">
        <v>40.270000000000003</v>
      </c>
      <c r="T212">
        <v>43.3</v>
      </c>
      <c r="U212">
        <v>306.33</v>
      </c>
      <c r="V212">
        <v>728.03</v>
      </c>
      <c r="W212">
        <v>2304.98</v>
      </c>
      <c r="X212">
        <v>1078.92</v>
      </c>
      <c r="Y212">
        <v>102912.2</v>
      </c>
      <c r="Z212">
        <v>5.9314</v>
      </c>
      <c r="AA212">
        <v>5.4771000000000001</v>
      </c>
      <c r="AB212">
        <v>6.8678999999999997</v>
      </c>
      <c r="AC212">
        <v>4.2557999999999998</v>
      </c>
      <c r="AD212">
        <v>3.2978000000000001</v>
      </c>
      <c r="AE212">
        <v>2.3039999999999998</v>
      </c>
      <c r="AF212">
        <v>2.15</v>
      </c>
      <c r="AG212">
        <v>1.1778</v>
      </c>
      <c r="AH212">
        <v>105.83</v>
      </c>
      <c r="AI212">
        <v>1.3085</v>
      </c>
      <c r="AJ212">
        <v>1.3411999999999999</v>
      </c>
      <c r="AK212">
        <v>8.7795000000000005</v>
      </c>
      <c r="AL212">
        <v>0.91290000000000004</v>
      </c>
      <c r="AM212">
        <v>186.63</v>
      </c>
      <c r="AN212">
        <v>106.03</v>
      </c>
      <c r="AO212">
        <v>97.58</v>
      </c>
      <c r="AP212">
        <v>91.76</v>
      </c>
      <c r="AQ212">
        <v>95.49</v>
      </c>
    </row>
    <row r="213" spans="1:43" x14ac:dyDescent="0.25">
      <c r="A213" s="7">
        <v>44074</v>
      </c>
      <c r="B213">
        <v>9.3799999999999994E-2</v>
      </c>
      <c r="C213">
        <v>-6.2E-2</v>
      </c>
      <c r="D213">
        <v>-0.58399999999999996</v>
      </c>
      <c r="E213">
        <v>-0.121</v>
      </c>
      <c r="F213">
        <v>0.13089999999999999</v>
      </c>
      <c r="G213">
        <v>-6.2199999999999998E-2</v>
      </c>
      <c r="H213">
        <v>-0.65800000000000003</v>
      </c>
      <c r="I213">
        <v>-0.113</v>
      </c>
      <c r="J213">
        <v>0.70479999999999998</v>
      </c>
      <c r="K213">
        <v>0.31019999999999998</v>
      </c>
      <c r="L213">
        <v>-0.39800000000000002</v>
      </c>
      <c r="M213">
        <v>4.7E-2</v>
      </c>
      <c r="N213">
        <v>26.41</v>
      </c>
      <c r="O213">
        <v>214.94</v>
      </c>
      <c r="P213">
        <v>92.144000000000005</v>
      </c>
      <c r="Q213">
        <v>129.85599999999999</v>
      </c>
      <c r="R213">
        <v>5.4945000000000004</v>
      </c>
      <c r="S213">
        <v>42.61</v>
      </c>
      <c r="T213">
        <v>45.28</v>
      </c>
      <c r="U213">
        <v>325.12</v>
      </c>
      <c r="V213">
        <v>756.72</v>
      </c>
      <c r="W213">
        <v>2455.5100000000002</v>
      </c>
      <c r="X213">
        <v>1101.5</v>
      </c>
      <c r="Y213">
        <v>99369.15</v>
      </c>
      <c r="Z213">
        <v>6.5827</v>
      </c>
      <c r="AA213">
        <v>6.2268999999999997</v>
      </c>
      <c r="AB213">
        <v>7.6595000000000004</v>
      </c>
      <c r="AC213">
        <v>4.8297999999999996</v>
      </c>
      <c r="AD213">
        <v>3.6964000000000001</v>
      </c>
      <c r="AE213">
        <v>2.6111</v>
      </c>
      <c r="AF213">
        <v>1.9</v>
      </c>
      <c r="AG213">
        <v>1.1936</v>
      </c>
      <c r="AH213">
        <v>105.91</v>
      </c>
      <c r="AI213">
        <v>1.337</v>
      </c>
      <c r="AJ213">
        <v>1.3047</v>
      </c>
      <c r="AK213">
        <v>8.6454000000000004</v>
      </c>
      <c r="AL213">
        <v>0.90369999999999995</v>
      </c>
      <c r="AM213">
        <v>186.63</v>
      </c>
      <c r="AN213">
        <v>109.42</v>
      </c>
      <c r="AO213">
        <v>100.68</v>
      </c>
      <c r="AP213">
        <v>93.49</v>
      </c>
      <c r="AQ213">
        <v>94.96</v>
      </c>
    </row>
    <row r="214" spans="1:43" x14ac:dyDescent="0.25">
      <c r="A214" s="7">
        <v>44104</v>
      </c>
      <c r="B214">
        <v>9.1499999999999998E-2</v>
      </c>
      <c r="C214">
        <v>1.0999999999999999E-2</v>
      </c>
      <c r="D214">
        <v>-0.63300000000000001</v>
      </c>
      <c r="E214">
        <v>-0.159</v>
      </c>
      <c r="F214">
        <v>0.127</v>
      </c>
      <c r="G214">
        <v>-2.7199999999999998E-2</v>
      </c>
      <c r="H214">
        <v>-0.70499999999999996</v>
      </c>
      <c r="I214">
        <v>-0.13500000000000001</v>
      </c>
      <c r="J214">
        <v>0.68400000000000005</v>
      </c>
      <c r="K214">
        <v>0.2283</v>
      </c>
      <c r="L214">
        <v>-0.52300000000000002</v>
      </c>
      <c r="M214">
        <v>1.0999999999999999E-2</v>
      </c>
      <c r="N214">
        <v>26.37</v>
      </c>
      <c r="O214">
        <v>249.64400000000001</v>
      </c>
      <c r="P214">
        <v>93.885999999999996</v>
      </c>
      <c r="Q214">
        <v>128.1627</v>
      </c>
      <c r="R214">
        <v>5.6094999999999997</v>
      </c>
      <c r="S214">
        <v>40.22</v>
      </c>
      <c r="T214">
        <v>40.950000000000003</v>
      </c>
      <c r="U214">
        <v>339.91</v>
      </c>
      <c r="V214">
        <v>772.87</v>
      </c>
      <c r="W214">
        <v>2367.27</v>
      </c>
      <c r="X214">
        <v>1082</v>
      </c>
      <c r="Y214">
        <v>94603.38</v>
      </c>
      <c r="Z214">
        <v>7.3010000000000002</v>
      </c>
      <c r="AA214">
        <v>6.8380999999999998</v>
      </c>
      <c r="AB214">
        <v>8.2470999999999997</v>
      </c>
      <c r="AC214">
        <v>5.4804000000000004</v>
      </c>
      <c r="AD214">
        <v>4.1500000000000004</v>
      </c>
      <c r="AE214">
        <v>2.73</v>
      </c>
      <c r="AF214">
        <v>1.9</v>
      </c>
      <c r="AG214">
        <v>1.1720999999999999</v>
      </c>
      <c r="AH214">
        <v>105.48</v>
      </c>
      <c r="AI214">
        <v>1.292</v>
      </c>
      <c r="AJ214">
        <v>1.3319000000000001</v>
      </c>
      <c r="AK214">
        <v>8.9571000000000005</v>
      </c>
      <c r="AL214">
        <v>0.92090000000000005</v>
      </c>
      <c r="AM214">
        <v>186.63</v>
      </c>
      <c r="AN214">
        <v>111.13</v>
      </c>
      <c r="AO214">
        <v>103.36</v>
      </c>
      <c r="AP214">
        <v>95.39</v>
      </c>
      <c r="AQ214">
        <v>95.82</v>
      </c>
    </row>
    <row r="215" spans="1:43" x14ac:dyDescent="0.25">
      <c r="A215" s="7">
        <v>44134</v>
      </c>
      <c r="B215">
        <v>8.6400000000000005E-2</v>
      </c>
      <c r="C215">
        <v>-0.04</v>
      </c>
      <c r="D215">
        <v>-0.74299999999999999</v>
      </c>
      <c r="E215">
        <v>-9.2999999999999999E-2</v>
      </c>
      <c r="F215">
        <v>0.1525</v>
      </c>
      <c r="G215">
        <v>-3.7600000000000001E-2</v>
      </c>
      <c r="H215">
        <v>-0.79800000000000004</v>
      </c>
      <c r="I215">
        <v>-0.127</v>
      </c>
      <c r="J215">
        <v>0.87370000000000003</v>
      </c>
      <c r="K215">
        <v>0.26050000000000001</v>
      </c>
      <c r="L215">
        <v>-0.628</v>
      </c>
      <c r="M215">
        <v>3.6999999999999998E-2</v>
      </c>
      <c r="N215">
        <v>38.020000000000003</v>
      </c>
      <c r="O215">
        <v>218.16200000000001</v>
      </c>
      <c r="P215">
        <v>94.037999999999997</v>
      </c>
      <c r="Q215">
        <v>126.9731</v>
      </c>
      <c r="R215">
        <v>5.7450999999999999</v>
      </c>
      <c r="S215">
        <v>35.79</v>
      </c>
      <c r="T215">
        <v>37.46</v>
      </c>
      <c r="U215">
        <v>337.87</v>
      </c>
      <c r="V215">
        <v>780.4</v>
      </c>
      <c r="W215">
        <v>2292.9299999999998</v>
      </c>
      <c r="X215">
        <v>1103.46</v>
      </c>
      <c r="Y215">
        <v>93952.4</v>
      </c>
      <c r="Z215">
        <v>7.4764999999999997</v>
      </c>
      <c r="AA215">
        <v>7.1562999999999999</v>
      </c>
      <c r="AB215">
        <v>8.2690000000000001</v>
      </c>
      <c r="AC215">
        <v>5.9867999999999997</v>
      </c>
      <c r="AD215">
        <v>4.8181000000000003</v>
      </c>
      <c r="AE215">
        <v>3.1783999999999999</v>
      </c>
      <c r="AF215">
        <v>1.9</v>
      </c>
      <c r="AG215">
        <v>1.1647000000000001</v>
      </c>
      <c r="AH215">
        <v>104.66</v>
      </c>
      <c r="AI215">
        <v>1.2947</v>
      </c>
      <c r="AJ215">
        <v>1.3321000000000001</v>
      </c>
      <c r="AK215">
        <v>8.8977000000000004</v>
      </c>
      <c r="AL215">
        <v>0.91700000000000004</v>
      </c>
      <c r="AM215">
        <v>186.63</v>
      </c>
      <c r="AN215">
        <v>113.43</v>
      </c>
      <c r="AO215">
        <v>105</v>
      </c>
      <c r="AP215">
        <v>97.26</v>
      </c>
      <c r="AQ215">
        <v>97.81</v>
      </c>
    </row>
    <row r="216" spans="1:43" x14ac:dyDescent="0.25">
      <c r="A216" s="7">
        <v>44165</v>
      </c>
      <c r="B216">
        <v>7.1199999999999999E-2</v>
      </c>
      <c r="C216">
        <v>-0.108</v>
      </c>
      <c r="D216">
        <v>-0.76</v>
      </c>
      <c r="E216">
        <v>-7.2999999999999995E-2</v>
      </c>
      <c r="F216">
        <v>0.14849999999999999</v>
      </c>
      <c r="G216">
        <v>-2.9700000000000001E-2</v>
      </c>
      <c r="H216">
        <v>-0.749</v>
      </c>
      <c r="I216">
        <v>-0.127</v>
      </c>
      <c r="J216">
        <v>0.83889999999999998</v>
      </c>
      <c r="K216">
        <v>0.30380000000000001</v>
      </c>
      <c r="L216">
        <v>-0.57199999999999995</v>
      </c>
      <c r="M216">
        <v>2.7E-2</v>
      </c>
      <c r="N216">
        <v>20.57</v>
      </c>
      <c r="O216">
        <v>165.92699999999999</v>
      </c>
      <c r="P216">
        <v>91.869</v>
      </c>
      <c r="Q216">
        <v>124.39149999999999</v>
      </c>
      <c r="R216">
        <v>5.3593999999999999</v>
      </c>
      <c r="S216">
        <v>45.34</v>
      </c>
      <c r="T216">
        <v>47.59</v>
      </c>
      <c r="U216">
        <v>358.48</v>
      </c>
      <c r="V216">
        <v>827.85</v>
      </c>
      <c r="W216">
        <v>2583.14</v>
      </c>
      <c r="X216">
        <v>1205.07</v>
      </c>
      <c r="Y216">
        <v>108893.32</v>
      </c>
      <c r="Z216">
        <v>7.5263999999999998</v>
      </c>
      <c r="AA216">
        <v>7.1608999999999998</v>
      </c>
      <c r="AB216">
        <v>8.3520000000000003</v>
      </c>
      <c r="AC216">
        <v>6.0495000000000001</v>
      </c>
      <c r="AD216">
        <v>4.8921000000000001</v>
      </c>
      <c r="AE216">
        <v>3.1787999999999998</v>
      </c>
      <c r="AF216">
        <v>1.9</v>
      </c>
      <c r="AG216">
        <v>1.1927000000000001</v>
      </c>
      <c r="AH216">
        <v>104.31</v>
      </c>
      <c r="AI216">
        <v>1.3323</v>
      </c>
      <c r="AJ216">
        <v>1.3001</v>
      </c>
      <c r="AK216">
        <v>8.5736000000000008</v>
      </c>
      <c r="AL216">
        <v>0.90890000000000004</v>
      </c>
      <c r="AM216">
        <v>186.63</v>
      </c>
      <c r="AN216">
        <v>105.13</v>
      </c>
      <c r="AO216">
        <v>105.44</v>
      </c>
      <c r="AP216">
        <v>97.46</v>
      </c>
      <c r="AQ216">
        <v>96.5</v>
      </c>
    </row>
    <row r="217" spans="1:43" x14ac:dyDescent="0.25">
      <c r="A217" s="7">
        <v>44196</v>
      </c>
      <c r="B217">
        <v>5.8299999999999998E-2</v>
      </c>
      <c r="C217">
        <v>-6.0999999999999999E-2</v>
      </c>
      <c r="D217">
        <v>-0.82599999999999996</v>
      </c>
      <c r="E217">
        <v>-0.10100000000000001</v>
      </c>
      <c r="F217">
        <v>0.1211</v>
      </c>
      <c r="G217">
        <v>-0.1734</v>
      </c>
      <c r="H217">
        <v>-0.71499999999999997</v>
      </c>
      <c r="I217">
        <v>-0.13100000000000001</v>
      </c>
      <c r="J217">
        <v>0.91320000000000001</v>
      </c>
      <c r="K217">
        <v>0.1923</v>
      </c>
      <c r="L217">
        <v>-0.57199999999999995</v>
      </c>
      <c r="M217">
        <v>1.7000000000000001E-2</v>
      </c>
      <c r="N217">
        <v>22.75</v>
      </c>
      <c r="O217">
        <v>142.851</v>
      </c>
      <c r="P217">
        <v>89.936999999999998</v>
      </c>
      <c r="Q217">
        <v>122.34950000000001</v>
      </c>
      <c r="R217">
        <v>5.1985000000000001</v>
      </c>
      <c r="S217">
        <v>48.52</v>
      </c>
      <c r="T217">
        <v>51.8</v>
      </c>
      <c r="U217">
        <v>362.06</v>
      </c>
      <c r="V217">
        <v>903.49</v>
      </c>
      <c r="W217">
        <v>2690.04</v>
      </c>
      <c r="X217">
        <v>1291.26</v>
      </c>
      <c r="Y217">
        <v>119017.24</v>
      </c>
      <c r="Z217">
        <v>6.4123999999999999</v>
      </c>
      <c r="AA217">
        <v>6.05</v>
      </c>
      <c r="AB217">
        <v>7.2031999999999998</v>
      </c>
      <c r="AC217">
        <v>5.0895999999999999</v>
      </c>
      <c r="AD217">
        <v>4.1900000000000004</v>
      </c>
      <c r="AE217">
        <v>2.8542000000000001</v>
      </c>
      <c r="AF217">
        <v>1.9</v>
      </c>
      <c r="AG217">
        <v>1.2216</v>
      </c>
      <c r="AH217">
        <v>103.25</v>
      </c>
      <c r="AI217">
        <v>1.367</v>
      </c>
      <c r="AJ217">
        <v>1.2725</v>
      </c>
      <c r="AK217">
        <v>8.2272999999999996</v>
      </c>
      <c r="AL217">
        <v>0.88519999999999999</v>
      </c>
      <c r="AM217">
        <v>186.63</v>
      </c>
      <c r="AN217">
        <v>97.11</v>
      </c>
      <c r="AO217">
        <v>104.91</v>
      </c>
      <c r="AP217">
        <v>97.61</v>
      </c>
      <c r="AQ217">
        <v>97.51</v>
      </c>
    </row>
    <row r="218" spans="1:43" x14ac:dyDescent="0.25">
      <c r="A218" s="7">
        <v>44225</v>
      </c>
      <c r="B218">
        <v>4.82E-2</v>
      </c>
      <c r="C218">
        <v>-2.3E-2</v>
      </c>
      <c r="D218">
        <v>-0.63600000000000001</v>
      </c>
      <c r="E218">
        <v>-9.8000000000000004E-2</v>
      </c>
      <c r="F218">
        <v>0.10929999999999999</v>
      </c>
      <c r="G218">
        <v>-0.1124</v>
      </c>
      <c r="H218">
        <v>-0.73799999999999999</v>
      </c>
      <c r="I218">
        <v>-0.129</v>
      </c>
      <c r="J218">
        <v>1.0654999999999999</v>
      </c>
      <c r="K218">
        <v>0.32569999999999999</v>
      </c>
      <c r="L218">
        <v>-0.51900000000000002</v>
      </c>
      <c r="M218">
        <v>4.9000000000000002E-2</v>
      </c>
      <c r="N218">
        <v>33.090000000000003</v>
      </c>
      <c r="O218">
        <v>173.69800000000001</v>
      </c>
      <c r="P218">
        <v>90.584000000000003</v>
      </c>
      <c r="Q218">
        <v>122.0172</v>
      </c>
      <c r="R218">
        <v>5.4717000000000002</v>
      </c>
      <c r="S218">
        <v>52.2</v>
      </c>
      <c r="T218">
        <v>55.88</v>
      </c>
      <c r="U218">
        <v>367.81</v>
      </c>
      <c r="V218">
        <v>978.2</v>
      </c>
      <c r="W218">
        <v>2661.69</v>
      </c>
      <c r="X218">
        <v>1329.57</v>
      </c>
      <c r="Y218">
        <v>115067.55</v>
      </c>
      <c r="Z218">
        <v>7.0388999999999999</v>
      </c>
      <c r="AA218">
        <v>6.7199</v>
      </c>
      <c r="AB218">
        <v>7.7925000000000004</v>
      </c>
      <c r="AC218">
        <v>5.8276000000000003</v>
      </c>
      <c r="AD218">
        <v>4.93</v>
      </c>
      <c r="AE218">
        <v>3.4727000000000001</v>
      </c>
      <c r="AF218">
        <v>1.9</v>
      </c>
      <c r="AG218">
        <v>1.2136</v>
      </c>
      <c r="AH218">
        <v>104.68</v>
      </c>
      <c r="AI218">
        <v>1.3708</v>
      </c>
      <c r="AJ218">
        <v>1.2777000000000001</v>
      </c>
      <c r="AK218">
        <v>8.3656000000000006</v>
      </c>
      <c r="AL218">
        <v>0.89029999999999998</v>
      </c>
      <c r="AM218">
        <v>186.63</v>
      </c>
      <c r="AN218">
        <v>95.45</v>
      </c>
      <c r="AO218">
        <v>105.56</v>
      </c>
      <c r="AP218">
        <v>97.72</v>
      </c>
      <c r="AQ218">
        <v>91.9</v>
      </c>
    </row>
    <row r="219" spans="1:43" x14ac:dyDescent="0.25">
      <c r="A219" s="7">
        <v>44253</v>
      </c>
      <c r="B219">
        <v>3.3000000000000002E-2</v>
      </c>
      <c r="C219">
        <v>-1.4E-2</v>
      </c>
      <c r="D219">
        <v>-0.623</v>
      </c>
      <c r="E219">
        <v>-0.10199999999999999</v>
      </c>
      <c r="F219">
        <v>0.127</v>
      </c>
      <c r="G219">
        <v>0.1176</v>
      </c>
      <c r="H219">
        <v>-0.66800000000000004</v>
      </c>
      <c r="I219">
        <v>-0.123</v>
      </c>
      <c r="J219">
        <v>1.4049</v>
      </c>
      <c r="K219">
        <v>0.81840000000000002</v>
      </c>
      <c r="L219">
        <v>-0.26200000000000001</v>
      </c>
      <c r="M219">
        <v>0.156</v>
      </c>
      <c r="N219">
        <v>27.95</v>
      </c>
      <c r="O219">
        <v>190.876</v>
      </c>
      <c r="P219">
        <v>90.879000000000005</v>
      </c>
      <c r="Q219">
        <v>122.7769</v>
      </c>
      <c r="R219">
        <v>5.6032999999999999</v>
      </c>
      <c r="S219">
        <v>61.5</v>
      </c>
      <c r="T219">
        <v>66.13</v>
      </c>
      <c r="U219">
        <v>401.79</v>
      </c>
      <c r="V219">
        <v>1032.94</v>
      </c>
      <c r="W219">
        <v>2726.91</v>
      </c>
      <c r="X219">
        <v>1339.26</v>
      </c>
      <c r="Y219">
        <v>110035.17</v>
      </c>
      <c r="Z219">
        <v>7.9036999999999997</v>
      </c>
      <c r="AA219">
        <v>7.6132</v>
      </c>
      <c r="AB219">
        <v>8.5305</v>
      </c>
      <c r="AC219">
        <v>6.7588999999999997</v>
      </c>
      <c r="AD219">
        <v>5.8085000000000004</v>
      </c>
      <c r="AE219">
        <v>4.0972999999999997</v>
      </c>
      <c r="AF219">
        <v>1.9</v>
      </c>
      <c r="AG219">
        <v>1.2075</v>
      </c>
      <c r="AH219">
        <v>106.57</v>
      </c>
      <c r="AI219">
        <v>1.3933</v>
      </c>
      <c r="AJ219">
        <v>1.2738</v>
      </c>
      <c r="AK219">
        <v>8.4372000000000007</v>
      </c>
      <c r="AL219">
        <v>0.90849999999999997</v>
      </c>
      <c r="AM219">
        <v>186.63</v>
      </c>
      <c r="AN219">
        <v>92.15</v>
      </c>
      <c r="AO219">
        <v>104.12</v>
      </c>
      <c r="AP219">
        <v>98.67</v>
      </c>
      <c r="AQ219">
        <v>93.88</v>
      </c>
    </row>
    <row r="220" spans="1:43" x14ac:dyDescent="0.25">
      <c r="A220" s="7">
        <v>44286</v>
      </c>
      <c r="B220">
        <v>1.52E-2</v>
      </c>
      <c r="C220">
        <v>-0.01</v>
      </c>
      <c r="D220">
        <v>-0.66500000000000004</v>
      </c>
      <c r="E220">
        <v>-0.1</v>
      </c>
      <c r="F220">
        <v>0.1603</v>
      </c>
      <c r="G220">
        <v>9.6500000000000002E-2</v>
      </c>
      <c r="H220">
        <v>-0.69499999999999995</v>
      </c>
      <c r="I220">
        <v>-0.13</v>
      </c>
      <c r="J220">
        <v>1.7403999999999999</v>
      </c>
      <c r="K220">
        <v>0.84370000000000001</v>
      </c>
      <c r="L220">
        <v>-0.29299999999999998</v>
      </c>
      <c r="M220">
        <v>8.8999999999999996E-2</v>
      </c>
      <c r="N220">
        <v>19.399999999999999</v>
      </c>
      <c r="O220">
        <v>225.452</v>
      </c>
      <c r="P220">
        <v>93.231999999999999</v>
      </c>
      <c r="Q220">
        <v>124.4151</v>
      </c>
      <c r="R220">
        <v>5.6337000000000002</v>
      </c>
      <c r="S220">
        <v>59.16</v>
      </c>
      <c r="T220">
        <v>63.54</v>
      </c>
      <c r="U220">
        <v>430.32</v>
      </c>
      <c r="V220">
        <v>1065.8699999999999</v>
      </c>
      <c r="W220">
        <v>2811.7</v>
      </c>
      <c r="X220">
        <v>1316.43</v>
      </c>
      <c r="Y220">
        <v>116633.72</v>
      </c>
      <c r="Z220">
        <v>8.7355999999999998</v>
      </c>
      <c r="AA220">
        <v>8.4742999999999995</v>
      </c>
      <c r="AB220">
        <v>9.2167999999999992</v>
      </c>
      <c r="AC220">
        <v>7.6041999999999996</v>
      </c>
      <c r="AD220">
        <v>6.7301000000000002</v>
      </c>
      <c r="AE220">
        <v>5.1071999999999997</v>
      </c>
      <c r="AF220">
        <v>2.65</v>
      </c>
      <c r="AG220">
        <v>1.173</v>
      </c>
      <c r="AH220">
        <v>110.72</v>
      </c>
      <c r="AI220">
        <v>1.3783000000000001</v>
      </c>
      <c r="AJ220">
        <v>1.2562</v>
      </c>
      <c r="AK220">
        <v>8.7301000000000002</v>
      </c>
      <c r="AL220">
        <v>0.94359999999999999</v>
      </c>
      <c r="AM220">
        <v>186.63</v>
      </c>
      <c r="AN220">
        <v>100.32</v>
      </c>
      <c r="AO220">
        <v>101.95</v>
      </c>
      <c r="AP220">
        <v>95.2</v>
      </c>
      <c r="AQ220">
        <v>101.12</v>
      </c>
    </row>
    <row r="221" spans="1:43" x14ac:dyDescent="0.25">
      <c r="A221" s="7">
        <v>44316</v>
      </c>
      <c r="B221">
        <v>2.5000000000000001E-3</v>
      </c>
      <c r="C221">
        <v>3.7999999999999999E-2</v>
      </c>
      <c r="D221">
        <v>-0.64200000000000002</v>
      </c>
      <c r="E221">
        <v>-0.11</v>
      </c>
      <c r="F221">
        <v>0.15840000000000001</v>
      </c>
      <c r="G221">
        <v>7.46E-2</v>
      </c>
      <c r="H221">
        <v>-0.69</v>
      </c>
      <c r="I221">
        <v>-0.128</v>
      </c>
      <c r="J221">
        <v>1.6258999999999999</v>
      </c>
      <c r="K221">
        <v>0.84099999999999997</v>
      </c>
      <c r="L221">
        <v>-0.20300000000000001</v>
      </c>
      <c r="M221">
        <v>9.0999999999999998E-2</v>
      </c>
      <c r="N221">
        <v>18.61</v>
      </c>
      <c r="O221">
        <v>192.05699999999999</v>
      </c>
      <c r="P221">
        <v>91.28</v>
      </c>
      <c r="Q221">
        <v>123.3813</v>
      </c>
      <c r="R221">
        <v>5.4375999999999998</v>
      </c>
      <c r="S221">
        <v>63.58</v>
      </c>
      <c r="T221">
        <v>67.25</v>
      </c>
      <c r="U221">
        <v>468.73</v>
      </c>
      <c r="V221">
        <v>1116.01</v>
      </c>
      <c r="W221">
        <v>2938.76</v>
      </c>
      <c r="X221">
        <v>1347.61</v>
      </c>
      <c r="Y221">
        <v>118893.84</v>
      </c>
      <c r="Z221">
        <v>8.5244999999999997</v>
      </c>
      <c r="AA221">
        <v>8.1989999999999998</v>
      </c>
      <c r="AB221">
        <v>9.0206</v>
      </c>
      <c r="AC221">
        <v>7.4757999999999996</v>
      </c>
      <c r="AD221">
        <v>6.6917</v>
      </c>
      <c r="AE221">
        <v>5.2926000000000002</v>
      </c>
      <c r="AF221">
        <v>2.65</v>
      </c>
      <c r="AG221">
        <v>1.202</v>
      </c>
      <c r="AH221">
        <v>109.31</v>
      </c>
      <c r="AI221">
        <v>1.3822000000000001</v>
      </c>
      <c r="AJ221">
        <v>1.2286999999999999</v>
      </c>
      <c r="AK221">
        <v>8.4648000000000003</v>
      </c>
      <c r="AL221">
        <v>0.91310000000000002</v>
      </c>
      <c r="AM221">
        <v>186.63</v>
      </c>
      <c r="AN221">
        <v>94.72</v>
      </c>
      <c r="AO221">
        <v>100.06</v>
      </c>
      <c r="AP221">
        <v>96.35</v>
      </c>
      <c r="AQ221">
        <v>97.22</v>
      </c>
    </row>
    <row r="222" spans="1:43" x14ac:dyDescent="0.25">
      <c r="A222" s="7">
        <v>44347</v>
      </c>
      <c r="B222">
        <v>2.5000000000000001E-3</v>
      </c>
      <c r="C222">
        <v>2.8000000000000001E-2</v>
      </c>
      <c r="D222">
        <v>-0.65800000000000003</v>
      </c>
      <c r="E222">
        <v>-0.106</v>
      </c>
      <c r="F222">
        <v>0.14069999999999999</v>
      </c>
      <c r="G222">
        <v>5.74E-2</v>
      </c>
      <c r="H222">
        <v>-0.66800000000000004</v>
      </c>
      <c r="I222">
        <v>-0.13300000000000001</v>
      </c>
      <c r="J222">
        <v>1.5943000000000001</v>
      </c>
      <c r="K222">
        <v>0.79359999999999997</v>
      </c>
      <c r="L222">
        <v>-0.188</v>
      </c>
      <c r="M222">
        <v>7.8E-2</v>
      </c>
      <c r="N222">
        <v>16.760000000000002</v>
      </c>
      <c r="O222">
        <v>171.768</v>
      </c>
      <c r="P222">
        <v>89.828999999999994</v>
      </c>
      <c r="Q222">
        <v>122.3997</v>
      </c>
      <c r="R222">
        <v>5.2187999999999999</v>
      </c>
      <c r="S222">
        <v>66.319999999999993</v>
      </c>
      <c r="T222">
        <v>69.319999999999993</v>
      </c>
      <c r="U222">
        <v>480.96</v>
      </c>
      <c r="V222">
        <v>1156.69</v>
      </c>
      <c r="W222">
        <v>2975.7</v>
      </c>
      <c r="X222">
        <v>1376.21</v>
      </c>
      <c r="Y222">
        <v>126215.73</v>
      </c>
      <c r="Z222">
        <v>8.5776000000000003</v>
      </c>
      <c r="AA222">
        <v>8.3094999999999999</v>
      </c>
      <c r="AB222">
        <v>9.1175999999999995</v>
      </c>
      <c r="AC222">
        <v>7.6749000000000001</v>
      </c>
      <c r="AD222">
        <v>7.0978000000000003</v>
      </c>
      <c r="AE222">
        <v>5.8985000000000003</v>
      </c>
      <c r="AF222">
        <v>3.4</v>
      </c>
      <c r="AG222">
        <v>1.2226999999999999</v>
      </c>
      <c r="AH222">
        <v>109.58</v>
      </c>
      <c r="AI222">
        <v>1.4212</v>
      </c>
      <c r="AJ222">
        <v>1.2063999999999999</v>
      </c>
      <c r="AK222">
        <v>8.2977000000000007</v>
      </c>
      <c r="AL222">
        <v>0.89890000000000003</v>
      </c>
      <c r="AM222">
        <v>186.63</v>
      </c>
      <c r="AN222">
        <v>102.96</v>
      </c>
      <c r="AO222">
        <v>101.18</v>
      </c>
      <c r="AP222">
        <v>97.13</v>
      </c>
      <c r="AQ222">
        <v>96.03</v>
      </c>
    </row>
    <row r="223" spans="1:43" x14ac:dyDescent="0.25">
      <c r="A223" s="7">
        <v>44377</v>
      </c>
      <c r="B223">
        <v>4.0599999999999997E-2</v>
      </c>
      <c r="C223">
        <v>2.4E-2</v>
      </c>
      <c r="D223">
        <v>-0.66700000000000004</v>
      </c>
      <c r="E223">
        <v>-0.10299999999999999</v>
      </c>
      <c r="F223">
        <v>0.24859999999999999</v>
      </c>
      <c r="G223">
        <v>5.7000000000000002E-2</v>
      </c>
      <c r="H223">
        <v>-0.66700000000000004</v>
      </c>
      <c r="I223">
        <v>-0.11700000000000001</v>
      </c>
      <c r="J223">
        <v>1.468</v>
      </c>
      <c r="K223">
        <v>0.71499999999999997</v>
      </c>
      <c r="L223">
        <v>-0.20899999999999999</v>
      </c>
      <c r="M223">
        <v>5.1999999999999998E-2</v>
      </c>
      <c r="N223">
        <v>15.83</v>
      </c>
      <c r="O223">
        <v>164.79400000000001</v>
      </c>
      <c r="P223">
        <v>92.436000000000007</v>
      </c>
      <c r="Q223">
        <v>122.2992</v>
      </c>
      <c r="R223">
        <v>4.9695999999999998</v>
      </c>
      <c r="S223">
        <v>73.47</v>
      </c>
      <c r="T223">
        <v>75.13</v>
      </c>
      <c r="U223">
        <v>488.63</v>
      </c>
      <c r="V223">
        <v>1157.99</v>
      </c>
      <c r="W223">
        <v>3017.23</v>
      </c>
      <c r="X223">
        <v>1374.64</v>
      </c>
      <c r="Y223">
        <v>126801.66</v>
      </c>
      <c r="Z223">
        <v>8.5596999999999994</v>
      </c>
      <c r="AA223">
        <v>8.3818999999999999</v>
      </c>
      <c r="AB223">
        <v>9.0433000000000003</v>
      </c>
      <c r="AC223">
        <v>7.9238999999999997</v>
      </c>
      <c r="AD223">
        <v>7.46</v>
      </c>
      <c r="AE223">
        <v>6.5888</v>
      </c>
      <c r="AF223">
        <v>4.1500000000000004</v>
      </c>
      <c r="AG223">
        <v>1.1858</v>
      </c>
      <c r="AH223">
        <v>111.11</v>
      </c>
      <c r="AI223">
        <v>1.3831</v>
      </c>
      <c r="AJ223">
        <v>1.2398</v>
      </c>
      <c r="AK223">
        <v>8.5509000000000004</v>
      </c>
      <c r="AL223">
        <v>0.92500000000000004</v>
      </c>
      <c r="AM223">
        <v>186.63</v>
      </c>
      <c r="AN223">
        <v>102.41</v>
      </c>
      <c r="AO223">
        <v>100.8</v>
      </c>
      <c r="AP223">
        <v>96.65</v>
      </c>
      <c r="AQ223">
        <v>96.36</v>
      </c>
    </row>
    <row r="224" spans="1:43" x14ac:dyDescent="0.25">
      <c r="A224" s="7">
        <v>44407</v>
      </c>
      <c r="B224">
        <v>4.0599999999999997E-2</v>
      </c>
      <c r="C224">
        <v>2.4E-2</v>
      </c>
      <c r="D224">
        <v>-0.67400000000000004</v>
      </c>
      <c r="E224">
        <v>-0.11600000000000001</v>
      </c>
      <c r="F224">
        <v>0.18390000000000001</v>
      </c>
      <c r="G224">
        <v>5.3999999999999999E-2</v>
      </c>
      <c r="H224">
        <v>-0.76700000000000002</v>
      </c>
      <c r="I224">
        <v>-0.128</v>
      </c>
      <c r="J224">
        <v>1.2222999999999999</v>
      </c>
      <c r="K224">
        <v>0.56420000000000003</v>
      </c>
      <c r="L224">
        <v>-0.46200000000000002</v>
      </c>
      <c r="M224">
        <v>1.6E-2</v>
      </c>
      <c r="N224">
        <v>18.239999999999998</v>
      </c>
      <c r="O224">
        <v>176.59399999999999</v>
      </c>
      <c r="P224">
        <v>92.174000000000007</v>
      </c>
      <c r="Q224">
        <v>123.3832</v>
      </c>
      <c r="R224">
        <v>5.2119</v>
      </c>
      <c r="S224">
        <v>73.95</v>
      </c>
      <c r="T224">
        <v>76.33</v>
      </c>
      <c r="U224">
        <v>485.74</v>
      </c>
      <c r="V224">
        <v>1200.3399999999999</v>
      </c>
      <c r="W224">
        <v>3069.25</v>
      </c>
      <c r="X224">
        <v>1277.8</v>
      </c>
      <c r="Y224">
        <v>121800.79</v>
      </c>
      <c r="Z224">
        <v>9.0991</v>
      </c>
      <c r="AA224">
        <v>8.9521999999999995</v>
      </c>
      <c r="AB224">
        <v>9.5152000000000001</v>
      </c>
      <c r="AC224">
        <v>8.6100999999999992</v>
      </c>
      <c r="AD224">
        <v>8.2477</v>
      </c>
      <c r="AE224">
        <v>7.4795999999999996</v>
      </c>
      <c r="AF224">
        <v>4.1500000000000004</v>
      </c>
      <c r="AG224">
        <v>1.1870000000000001</v>
      </c>
      <c r="AH224">
        <v>109.72</v>
      </c>
      <c r="AI224">
        <v>1.3904000000000001</v>
      </c>
      <c r="AJ224">
        <v>1.2475000000000001</v>
      </c>
      <c r="AK224">
        <v>8.5914999999999999</v>
      </c>
      <c r="AL224">
        <v>0.90590000000000004</v>
      </c>
      <c r="AM224">
        <v>186.63</v>
      </c>
      <c r="AN224">
        <v>107.53</v>
      </c>
      <c r="AO224">
        <v>99.28</v>
      </c>
      <c r="AP224">
        <v>96.32</v>
      </c>
      <c r="AQ224">
        <v>99.78</v>
      </c>
    </row>
    <row r="225" spans="1:43" x14ac:dyDescent="0.25">
      <c r="A225" s="7">
        <v>44439</v>
      </c>
      <c r="B225">
        <v>3.5499999999999997E-2</v>
      </c>
      <c r="C225">
        <v>4.0000000000000001E-3</v>
      </c>
      <c r="D225">
        <v>-0.67800000000000005</v>
      </c>
      <c r="E225">
        <v>-0.11899999999999999</v>
      </c>
      <c r="F225">
        <v>0.20930000000000001</v>
      </c>
      <c r="G225">
        <v>0.21590000000000001</v>
      </c>
      <c r="H225">
        <v>-0.72199999999999998</v>
      </c>
      <c r="I225">
        <v>-0.13100000000000001</v>
      </c>
      <c r="J225">
        <v>1.3088</v>
      </c>
      <c r="K225">
        <v>0.71260000000000001</v>
      </c>
      <c r="L225">
        <v>-0.38500000000000001</v>
      </c>
      <c r="M225">
        <v>0.02</v>
      </c>
      <c r="N225">
        <v>16.48</v>
      </c>
      <c r="O225">
        <v>176.05199999999999</v>
      </c>
      <c r="P225">
        <v>92.626000000000005</v>
      </c>
      <c r="Q225">
        <v>123.7116</v>
      </c>
      <c r="R225">
        <v>5.1528999999999998</v>
      </c>
      <c r="S225">
        <v>68.5</v>
      </c>
      <c r="T225">
        <v>72.989999999999995</v>
      </c>
      <c r="U225">
        <v>482.74</v>
      </c>
      <c r="V225">
        <v>1172.82</v>
      </c>
      <c r="W225">
        <v>3141.35</v>
      </c>
      <c r="X225">
        <v>1308.67</v>
      </c>
      <c r="Y225">
        <v>118781.03</v>
      </c>
      <c r="Z225">
        <v>9.6370000000000005</v>
      </c>
      <c r="AA225">
        <v>9.8558000000000003</v>
      </c>
      <c r="AB225">
        <v>10.432399999999999</v>
      </c>
      <c r="AC225">
        <v>9.4255999999999993</v>
      </c>
      <c r="AD225">
        <v>9.0161999999999995</v>
      </c>
      <c r="AE225">
        <v>8.1920000000000002</v>
      </c>
      <c r="AF225">
        <v>5.15</v>
      </c>
      <c r="AG225">
        <v>1.1809000000000001</v>
      </c>
      <c r="AH225">
        <v>110.02</v>
      </c>
      <c r="AI225">
        <v>1.3754999999999999</v>
      </c>
      <c r="AJ225">
        <v>1.2616000000000001</v>
      </c>
      <c r="AK225">
        <v>8.6237999999999992</v>
      </c>
      <c r="AL225">
        <v>0.91510000000000002</v>
      </c>
      <c r="AM225">
        <v>186.63</v>
      </c>
      <c r="AN225">
        <v>108.81</v>
      </c>
      <c r="AO225">
        <v>99.42</v>
      </c>
      <c r="AP225">
        <v>96.94</v>
      </c>
      <c r="AQ225">
        <v>99.15</v>
      </c>
    </row>
    <row r="226" spans="1:43" x14ac:dyDescent="0.25">
      <c r="A226" s="7">
        <v>44469</v>
      </c>
      <c r="B226">
        <v>3.3000000000000002E-2</v>
      </c>
      <c r="C226">
        <v>1.7000000000000001E-2</v>
      </c>
      <c r="D226">
        <v>-0.67400000000000004</v>
      </c>
      <c r="E226">
        <v>-0.14499999999999999</v>
      </c>
      <c r="F226">
        <v>0.27550000000000002</v>
      </c>
      <c r="G226">
        <v>0.40510000000000002</v>
      </c>
      <c r="H226">
        <v>-0.69499999999999995</v>
      </c>
      <c r="I226">
        <v>-0.128</v>
      </c>
      <c r="J226">
        <v>1.4873000000000001</v>
      </c>
      <c r="K226">
        <v>1.0207999999999999</v>
      </c>
      <c r="L226">
        <v>-0.2</v>
      </c>
      <c r="M226">
        <v>6.6000000000000003E-2</v>
      </c>
      <c r="N226">
        <v>23.14</v>
      </c>
      <c r="O226">
        <v>206.01</v>
      </c>
      <c r="P226">
        <v>94.23</v>
      </c>
      <c r="Q226">
        <v>123.464</v>
      </c>
      <c r="R226">
        <v>5.4428999999999998</v>
      </c>
      <c r="S226">
        <v>75.03</v>
      </c>
      <c r="T226">
        <v>78.52</v>
      </c>
      <c r="U226">
        <v>470.37</v>
      </c>
      <c r="V226">
        <v>1152.94</v>
      </c>
      <c r="W226">
        <v>3006.6</v>
      </c>
      <c r="X226">
        <v>1253.0999999999999</v>
      </c>
      <c r="Y226">
        <v>110979.1</v>
      </c>
      <c r="Z226">
        <v>10.669</v>
      </c>
      <c r="AA226">
        <v>10.6061</v>
      </c>
      <c r="AB226">
        <v>11.073499999999999</v>
      </c>
      <c r="AC226">
        <v>10.25</v>
      </c>
      <c r="AD226">
        <v>9.8312000000000008</v>
      </c>
      <c r="AE226">
        <v>8.9413</v>
      </c>
      <c r="AF226">
        <v>6.15</v>
      </c>
      <c r="AG226">
        <v>1.1579999999999999</v>
      </c>
      <c r="AH226">
        <v>111.29</v>
      </c>
      <c r="AI226">
        <v>1.3473999999999999</v>
      </c>
      <c r="AJ226">
        <v>1.268</v>
      </c>
      <c r="AK226">
        <v>8.7620000000000005</v>
      </c>
      <c r="AL226">
        <v>0.93169999999999997</v>
      </c>
      <c r="AM226">
        <v>186.63</v>
      </c>
      <c r="AN226">
        <v>106.61</v>
      </c>
      <c r="AO226">
        <v>99.06</v>
      </c>
      <c r="AP226">
        <v>96.91</v>
      </c>
      <c r="AQ226">
        <v>97.02</v>
      </c>
    </row>
    <row r="227" spans="1:43" x14ac:dyDescent="0.25">
      <c r="A227" s="7">
        <v>44498</v>
      </c>
      <c r="B227">
        <v>4.82E-2</v>
      </c>
      <c r="C227">
        <v>4.2999999999999997E-2</v>
      </c>
      <c r="D227">
        <v>-0.84499999999999997</v>
      </c>
      <c r="E227">
        <v>-0.11799999999999999</v>
      </c>
      <c r="F227">
        <v>0.497</v>
      </c>
      <c r="G227">
        <v>0.70050000000000001</v>
      </c>
      <c r="H227">
        <v>-0.59099999999999997</v>
      </c>
      <c r="I227">
        <v>-0.10199999999999999</v>
      </c>
      <c r="J227">
        <v>1.5521</v>
      </c>
      <c r="K227">
        <v>1.0318000000000001</v>
      </c>
      <c r="L227">
        <v>-0.107</v>
      </c>
      <c r="M227">
        <v>9.4E-2</v>
      </c>
      <c r="N227">
        <v>16.260000000000002</v>
      </c>
      <c r="O227">
        <v>246.86</v>
      </c>
      <c r="P227">
        <v>94.123000000000005</v>
      </c>
      <c r="Q227">
        <v>124.3734</v>
      </c>
      <c r="R227">
        <v>5.6364000000000001</v>
      </c>
      <c r="S227">
        <v>83.57</v>
      </c>
      <c r="T227">
        <v>84.38</v>
      </c>
      <c r="U227">
        <v>476.64</v>
      </c>
      <c r="V227">
        <v>1228.22</v>
      </c>
      <c r="W227">
        <v>3174.73</v>
      </c>
      <c r="X227">
        <v>1264.75</v>
      </c>
      <c r="Y227">
        <v>103500.71</v>
      </c>
      <c r="Z227">
        <v>12.3673</v>
      </c>
      <c r="AA227">
        <v>12.2479</v>
      </c>
      <c r="AB227">
        <v>12.315200000000001</v>
      </c>
      <c r="AC227">
        <v>12.1713</v>
      </c>
      <c r="AD227">
        <v>12.280200000000001</v>
      </c>
      <c r="AE227">
        <v>11.940099999999999</v>
      </c>
      <c r="AF227">
        <v>7.65</v>
      </c>
      <c r="AG227">
        <v>1.1557999999999999</v>
      </c>
      <c r="AH227">
        <v>113.95</v>
      </c>
      <c r="AI227">
        <v>1.3682000000000001</v>
      </c>
      <c r="AJ227">
        <v>1.2387999999999999</v>
      </c>
      <c r="AK227">
        <v>8.5922000000000001</v>
      </c>
      <c r="AL227">
        <v>0.91610000000000003</v>
      </c>
      <c r="AM227">
        <v>186.63</v>
      </c>
      <c r="AN227">
        <v>104.57</v>
      </c>
      <c r="AO227">
        <v>98.67</v>
      </c>
      <c r="AP227">
        <v>97.38</v>
      </c>
      <c r="AQ227">
        <v>96.45</v>
      </c>
    </row>
    <row r="228" spans="1:43" x14ac:dyDescent="0.25">
      <c r="A228" s="7">
        <v>44530</v>
      </c>
      <c r="B228">
        <v>4.5600000000000002E-2</v>
      </c>
      <c r="C228">
        <v>-9.5000000000000001E-2</v>
      </c>
      <c r="D228">
        <v>-0.98699999999999999</v>
      </c>
      <c r="E228">
        <v>-0.161</v>
      </c>
      <c r="F228">
        <v>0.56499999999999995</v>
      </c>
      <c r="G228">
        <v>0.47020000000000001</v>
      </c>
      <c r="H228">
        <v>-0.746</v>
      </c>
      <c r="I228">
        <v>-0.129</v>
      </c>
      <c r="J228">
        <v>1.4442999999999999</v>
      </c>
      <c r="K228">
        <v>0.80720000000000003</v>
      </c>
      <c r="L228">
        <v>-0.35099999999999998</v>
      </c>
      <c r="M228">
        <v>5.2999999999999999E-2</v>
      </c>
      <c r="N228">
        <v>27.19</v>
      </c>
      <c r="O228">
        <v>257.44200000000001</v>
      </c>
      <c r="P228">
        <v>95.994</v>
      </c>
      <c r="Q228">
        <v>124.8764</v>
      </c>
      <c r="R228">
        <v>5.6237000000000004</v>
      </c>
      <c r="S228">
        <v>66.180000000000007</v>
      </c>
      <c r="T228">
        <v>70.569999999999993</v>
      </c>
      <c r="U228">
        <v>469.89</v>
      </c>
      <c r="V228">
        <v>1252.74</v>
      </c>
      <c r="W228">
        <v>3101.8</v>
      </c>
      <c r="X228">
        <v>1212.42</v>
      </c>
      <c r="Y228">
        <v>101915.45</v>
      </c>
      <c r="Z228">
        <v>11.741199999999999</v>
      </c>
      <c r="AA228">
        <v>11.38</v>
      </c>
      <c r="AB228">
        <v>11.3489</v>
      </c>
      <c r="AC228">
        <v>11.499700000000001</v>
      </c>
      <c r="AD228">
        <v>11.6975</v>
      </c>
      <c r="AE228">
        <v>11.7681</v>
      </c>
      <c r="AF228">
        <v>7.65</v>
      </c>
      <c r="AG228">
        <v>1.1337999999999999</v>
      </c>
      <c r="AH228">
        <v>113.17</v>
      </c>
      <c r="AI228">
        <v>1.3299000000000001</v>
      </c>
      <c r="AJ228">
        <v>1.2779</v>
      </c>
      <c r="AK228">
        <v>9.0235000000000003</v>
      </c>
      <c r="AL228">
        <v>0.91890000000000005</v>
      </c>
      <c r="AM228">
        <v>186.63</v>
      </c>
      <c r="AN228">
        <v>100.56</v>
      </c>
      <c r="AO228">
        <v>98.68</v>
      </c>
      <c r="AP228">
        <v>99.05</v>
      </c>
      <c r="AQ228">
        <v>97.78</v>
      </c>
    </row>
    <row r="229" spans="1:43" x14ac:dyDescent="0.25">
      <c r="A229" s="7">
        <v>44561</v>
      </c>
      <c r="B229">
        <v>3.04E-2</v>
      </c>
      <c r="C229">
        <v>-4.8000000000000001E-2</v>
      </c>
      <c r="D229">
        <v>-0.73699999999999999</v>
      </c>
      <c r="E229">
        <v>-0.129</v>
      </c>
      <c r="F229">
        <v>0.73219999999999996</v>
      </c>
      <c r="G229">
        <v>0.66459999999999997</v>
      </c>
      <c r="H229">
        <v>-0.63600000000000001</v>
      </c>
      <c r="I229">
        <v>-9.4E-2</v>
      </c>
      <c r="J229">
        <v>1.5101</v>
      </c>
      <c r="K229">
        <v>0.9677</v>
      </c>
      <c r="L229">
        <v>-0.182</v>
      </c>
      <c r="M229">
        <v>6.5000000000000002E-2</v>
      </c>
      <c r="N229">
        <v>17.22</v>
      </c>
      <c r="O229">
        <v>205.251</v>
      </c>
      <c r="P229">
        <v>95.67</v>
      </c>
      <c r="Q229">
        <v>125.298</v>
      </c>
      <c r="R229">
        <v>5.5758000000000001</v>
      </c>
      <c r="S229">
        <v>75.209999999999994</v>
      </c>
      <c r="T229">
        <v>77.78</v>
      </c>
      <c r="U229">
        <v>490.58</v>
      </c>
      <c r="V229">
        <v>1277.6199999999999</v>
      </c>
      <c r="W229">
        <v>3231.73</v>
      </c>
      <c r="X229">
        <v>1232.01</v>
      </c>
      <c r="Y229">
        <v>104822.44</v>
      </c>
      <c r="Z229">
        <v>10.5526</v>
      </c>
      <c r="AA229">
        <v>10.610099999999999</v>
      </c>
      <c r="AB229">
        <v>10.713200000000001</v>
      </c>
      <c r="AC229">
        <v>10.6</v>
      </c>
      <c r="AD229">
        <v>10.9648</v>
      </c>
      <c r="AE229">
        <v>11.7944</v>
      </c>
      <c r="AF229">
        <v>9.15</v>
      </c>
      <c r="AG229">
        <v>1.137</v>
      </c>
      <c r="AH229">
        <v>115.08</v>
      </c>
      <c r="AI229">
        <v>1.3532</v>
      </c>
      <c r="AJ229">
        <v>1.2637</v>
      </c>
      <c r="AK229">
        <v>9.0541999999999998</v>
      </c>
      <c r="AL229">
        <v>0.91290000000000004</v>
      </c>
      <c r="AM229">
        <v>186.63</v>
      </c>
      <c r="AN229">
        <v>92.3</v>
      </c>
      <c r="AO229">
        <v>100.26</v>
      </c>
      <c r="AP229">
        <v>99.25</v>
      </c>
      <c r="AQ229">
        <v>99.32</v>
      </c>
    </row>
    <row r="230" spans="1:43" x14ac:dyDescent="0.25">
      <c r="A230" s="7">
        <v>44592</v>
      </c>
      <c r="B230">
        <v>0.18</v>
      </c>
      <c r="C230">
        <v>0.34899999999999998</v>
      </c>
      <c r="D230">
        <v>-0.67700000000000005</v>
      </c>
      <c r="E230">
        <v>-9.1999999999999998E-2</v>
      </c>
      <c r="F230">
        <v>1.1787000000000001</v>
      </c>
      <c r="G230">
        <v>1.0371999999999999</v>
      </c>
      <c r="H230">
        <v>-0.53600000000000003</v>
      </c>
      <c r="I230">
        <v>-5.2999999999999999E-2</v>
      </c>
      <c r="J230">
        <v>1.7766999999999999</v>
      </c>
      <c r="K230">
        <v>1.3008999999999999</v>
      </c>
      <c r="L230">
        <v>8.9999999999999993E-3</v>
      </c>
      <c r="M230">
        <v>0.17399999999999999</v>
      </c>
      <c r="N230">
        <v>24.83</v>
      </c>
      <c r="O230">
        <v>227.732</v>
      </c>
      <c r="P230">
        <v>96.54</v>
      </c>
      <c r="Q230">
        <v>124.33159999999999</v>
      </c>
      <c r="R230">
        <v>5.3102</v>
      </c>
      <c r="S230">
        <v>88.15</v>
      </c>
      <c r="T230">
        <v>91.21</v>
      </c>
      <c r="U230">
        <v>503.15</v>
      </c>
      <c r="V230">
        <v>1268.55</v>
      </c>
      <c r="W230">
        <v>3059.05</v>
      </c>
      <c r="X230">
        <v>1208.23</v>
      </c>
      <c r="Y230">
        <v>112143.51</v>
      </c>
      <c r="Z230">
        <v>11.2186</v>
      </c>
      <c r="AA230">
        <v>11.2265</v>
      </c>
      <c r="AB230">
        <v>11.3621</v>
      </c>
      <c r="AC230">
        <v>11.2624</v>
      </c>
      <c r="AD230">
        <v>11.706300000000001</v>
      </c>
      <c r="AE230">
        <v>12.2492</v>
      </c>
      <c r="AF230">
        <v>9.15</v>
      </c>
      <c r="AG230">
        <v>1.1234999999999999</v>
      </c>
      <c r="AH230">
        <v>115.11</v>
      </c>
      <c r="AI230">
        <v>1.3447</v>
      </c>
      <c r="AJ230">
        <v>1.2707999999999999</v>
      </c>
      <c r="AK230">
        <v>9.3230000000000004</v>
      </c>
      <c r="AL230">
        <v>0.92720000000000002</v>
      </c>
      <c r="AM230">
        <v>186.63</v>
      </c>
      <c r="AN230">
        <v>90.13</v>
      </c>
      <c r="AO230">
        <v>100</v>
      </c>
      <c r="AP230">
        <v>97.47</v>
      </c>
      <c r="AQ230">
        <v>91.8</v>
      </c>
    </row>
    <row r="231" spans="1:43" x14ac:dyDescent="0.25">
      <c r="A231" s="7">
        <v>44620</v>
      </c>
      <c r="B231">
        <v>0.29170000000000001</v>
      </c>
      <c r="C231">
        <v>0.58799999999999997</v>
      </c>
      <c r="D231">
        <v>-0.752</v>
      </c>
      <c r="E231">
        <v>-0.09</v>
      </c>
      <c r="F231">
        <v>1.4322999999999999</v>
      </c>
      <c r="G231">
        <v>1.0301</v>
      </c>
      <c r="H231">
        <v>-0.53900000000000003</v>
      </c>
      <c r="I231">
        <v>-3.1E-2</v>
      </c>
      <c r="J231">
        <v>1.825</v>
      </c>
      <c r="K231">
        <v>1.4078999999999999</v>
      </c>
      <c r="L231">
        <v>0.13200000000000001</v>
      </c>
      <c r="M231">
        <v>0.187</v>
      </c>
      <c r="N231">
        <v>30.15</v>
      </c>
      <c r="O231">
        <v>223.39099999999999</v>
      </c>
      <c r="P231">
        <v>96.706999999999994</v>
      </c>
      <c r="Q231">
        <v>124.04179999999999</v>
      </c>
      <c r="R231">
        <v>5.1521999999999997</v>
      </c>
      <c r="S231">
        <v>95.72</v>
      </c>
      <c r="T231">
        <v>100.99</v>
      </c>
      <c r="U231">
        <v>552.16999999999996</v>
      </c>
      <c r="V231">
        <v>1289.47</v>
      </c>
      <c r="W231">
        <v>2977.95</v>
      </c>
      <c r="X231">
        <v>1171.31</v>
      </c>
      <c r="Y231">
        <v>113141.94</v>
      </c>
      <c r="Z231">
        <v>11.3744</v>
      </c>
      <c r="AA231">
        <v>11.319900000000001</v>
      </c>
      <c r="AB231">
        <v>11.63</v>
      </c>
      <c r="AC231">
        <v>11.395300000000001</v>
      </c>
      <c r="AD231">
        <v>11.88</v>
      </c>
      <c r="AE231">
        <v>12.472099999999999</v>
      </c>
      <c r="AF231">
        <v>10.65</v>
      </c>
      <c r="AG231">
        <v>1.1218999999999999</v>
      </c>
      <c r="AH231">
        <v>115</v>
      </c>
      <c r="AI231">
        <v>1.3420000000000001</v>
      </c>
      <c r="AJ231">
        <v>1.2675000000000001</v>
      </c>
      <c r="AK231">
        <v>9.4723000000000006</v>
      </c>
      <c r="AL231">
        <v>0.91679999999999995</v>
      </c>
      <c r="AM231">
        <v>186.63</v>
      </c>
      <c r="AN231">
        <v>89.77</v>
      </c>
      <c r="AO231">
        <v>100.94</v>
      </c>
      <c r="AP231">
        <v>98.51</v>
      </c>
      <c r="AQ231">
        <v>95.57</v>
      </c>
    </row>
    <row r="232" spans="1:43" x14ac:dyDescent="0.25">
      <c r="A232" s="7">
        <v>44651</v>
      </c>
      <c r="B232">
        <v>0.48220000000000002</v>
      </c>
      <c r="C232">
        <v>0.55800000000000005</v>
      </c>
      <c r="D232">
        <v>-0.76300000000000001</v>
      </c>
      <c r="E232">
        <v>-0.1</v>
      </c>
      <c r="F232">
        <v>2.3344999999999998</v>
      </c>
      <c r="G232">
        <v>1.3438000000000001</v>
      </c>
      <c r="H232">
        <v>-0.08</v>
      </c>
      <c r="I232">
        <v>-0.04</v>
      </c>
      <c r="J232">
        <v>2.3380000000000001</v>
      </c>
      <c r="K232">
        <v>1.6089</v>
      </c>
      <c r="L232">
        <v>0.54500000000000004</v>
      </c>
      <c r="M232">
        <v>0.21</v>
      </c>
      <c r="N232">
        <v>20.56</v>
      </c>
      <c r="O232">
        <v>208.786</v>
      </c>
      <c r="P232">
        <v>98.311999999999998</v>
      </c>
      <c r="Q232">
        <v>124.76179999999999</v>
      </c>
      <c r="R232">
        <v>4.7416999999999998</v>
      </c>
      <c r="S232">
        <v>100.28</v>
      </c>
      <c r="T232">
        <v>107.91</v>
      </c>
      <c r="U232">
        <v>568.4</v>
      </c>
      <c r="V232">
        <v>1409.45</v>
      </c>
      <c r="W232">
        <v>3053.07</v>
      </c>
      <c r="X232">
        <v>1141.79</v>
      </c>
      <c r="Y232">
        <v>119999.23</v>
      </c>
      <c r="Z232">
        <v>11.2721</v>
      </c>
      <c r="AA232">
        <v>11.2117</v>
      </c>
      <c r="AB232">
        <v>11.527799999999999</v>
      </c>
      <c r="AC232">
        <v>11.355</v>
      </c>
      <c r="AD232">
        <v>11.8607</v>
      </c>
      <c r="AE232">
        <v>12.7006</v>
      </c>
      <c r="AF232">
        <v>11.65</v>
      </c>
      <c r="AG232">
        <v>1.1067</v>
      </c>
      <c r="AH232">
        <v>121.7</v>
      </c>
      <c r="AI232">
        <v>1.3138000000000001</v>
      </c>
      <c r="AJ232">
        <v>1.2504999999999999</v>
      </c>
      <c r="AK232">
        <v>9.3971999999999998</v>
      </c>
      <c r="AL232">
        <v>0.92249999999999999</v>
      </c>
      <c r="AM232">
        <v>186.63</v>
      </c>
      <c r="AN232">
        <v>98.37</v>
      </c>
      <c r="AO232">
        <v>100.08</v>
      </c>
      <c r="AP232">
        <v>99.47</v>
      </c>
      <c r="AQ232">
        <v>104.64</v>
      </c>
    </row>
    <row r="233" spans="1:43" x14ac:dyDescent="0.25">
      <c r="A233" s="7">
        <v>44680</v>
      </c>
      <c r="B233">
        <v>0.82289999999999996</v>
      </c>
      <c r="C233">
        <v>0.91800000000000004</v>
      </c>
      <c r="D233">
        <v>-0.72099999999999997</v>
      </c>
      <c r="E233">
        <v>-0.15</v>
      </c>
      <c r="F233">
        <v>2.7145999999999999</v>
      </c>
      <c r="G233">
        <v>1.5790999999999999</v>
      </c>
      <c r="H233">
        <v>0.254</v>
      </c>
      <c r="I233">
        <v>-5.8000000000000003E-2</v>
      </c>
      <c r="J233">
        <v>2.9336000000000002</v>
      </c>
      <c r="K233">
        <v>1.9040999999999999</v>
      </c>
      <c r="L233">
        <v>0.93700000000000006</v>
      </c>
      <c r="M233">
        <v>0.221</v>
      </c>
      <c r="N233">
        <v>33.4</v>
      </c>
      <c r="O233">
        <v>229.60499999999999</v>
      </c>
      <c r="P233">
        <v>102.959</v>
      </c>
      <c r="Q233">
        <v>124.54430000000001</v>
      </c>
      <c r="R233">
        <v>4.9721000000000002</v>
      </c>
      <c r="S233">
        <v>104.69</v>
      </c>
      <c r="T233">
        <v>109.34</v>
      </c>
      <c r="U233">
        <v>590.92999999999995</v>
      </c>
      <c r="V233">
        <v>1361.98</v>
      </c>
      <c r="W233">
        <v>2795.62</v>
      </c>
      <c r="X233">
        <v>1076.19</v>
      </c>
      <c r="Y233">
        <v>107876.16</v>
      </c>
      <c r="Z233">
        <v>11.916399999999999</v>
      </c>
      <c r="AA233">
        <v>11.8018</v>
      </c>
      <c r="AB233">
        <v>12.1226</v>
      </c>
      <c r="AC233">
        <v>11.9773</v>
      </c>
      <c r="AD233">
        <v>12.3878</v>
      </c>
      <c r="AE233">
        <v>13.0062</v>
      </c>
      <c r="AF233">
        <v>11.65</v>
      </c>
      <c r="AG233">
        <v>1.0545</v>
      </c>
      <c r="AH233">
        <v>129.69999999999999</v>
      </c>
      <c r="AI233">
        <v>1.2574000000000001</v>
      </c>
      <c r="AJ233">
        <v>1.2847999999999999</v>
      </c>
      <c r="AK233">
        <v>9.8299000000000003</v>
      </c>
      <c r="AL233">
        <v>0.9718</v>
      </c>
      <c r="AM233">
        <v>186.63</v>
      </c>
      <c r="AN233">
        <v>94.63</v>
      </c>
      <c r="AO233">
        <v>100.75</v>
      </c>
      <c r="AP233">
        <v>99.68</v>
      </c>
      <c r="AQ233">
        <v>100.12</v>
      </c>
    </row>
    <row r="234" spans="1:43" x14ac:dyDescent="0.25">
      <c r="A234" s="7">
        <v>44712</v>
      </c>
      <c r="B234">
        <v>1.0391999999999999</v>
      </c>
      <c r="C234">
        <v>0.878</v>
      </c>
      <c r="D234">
        <v>-0.63900000000000001</v>
      </c>
      <c r="E234">
        <v>-0.1</v>
      </c>
      <c r="F234">
        <v>2.5565000000000002</v>
      </c>
      <c r="G234">
        <v>1.5729</v>
      </c>
      <c r="H234">
        <v>0.49399999999999999</v>
      </c>
      <c r="I234">
        <v>-7.9000000000000001E-2</v>
      </c>
      <c r="J234">
        <v>2.8441000000000001</v>
      </c>
      <c r="K234">
        <v>2.1</v>
      </c>
      <c r="L234">
        <v>1.1200000000000001</v>
      </c>
      <c r="M234">
        <v>0.23499999999999999</v>
      </c>
      <c r="N234">
        <v>26.19</v>
      </c>
      <c r="O234">
        <v>223.72800000000001</v>
      </c>
      <c r="P234">
        <v>101.752</v>
      </c>
      <c r="Q234">
        <v>126.89919999999999</v>
      </c>
      <c r="R234">
        <v>4.7336</v>
      </c>
      <c r="S234">
        <v>114.67</v>
      </c>
      <c r="T234">
        <v>122.84</v>
      </c>
      <c r="U234">
        <v>588.73</v>
      </c>
      <c r="V234">
        <v>1267.79</v>
      </c>
      <c r="W234">
        <v>2791.01</v>
      </c>
      <c r="X234">
        <v>1077.67</v>
      </c>
      <c r="Y234">
        <v>111350.51</v>
      </c>
      <c r="Z234">
        <v>12.189</v>
      </c>
      <c r="AA234">
        <v>12.109400000000001</v>
      </c>
      <c r="AB234">
        <v>12.336399999999999</v>
      </c>
      <c r="AC234">
        <v>12.1808</v>
      </c>
      <c r="AD234">
        <v>12.5906</v>
      </c>
      <c r="AE234">
        <v>13.382999999999999</v>
      </c>
      <c r="AF234">
        <v>12.65</v>
      </c>
      <c r="AG234">
        <v>1.0733999999999999</v>
      </c>
      <c r="AH234">
        <v>128.66999999999999</v>
      </c>
      <c r="AI234">
        <v>1.2602</v>
      </c>
      <c r="AJ234">
        <v>1.2646999999999999</v>
      </c>
      <c r="AK234">
        <v>9.7624999999999993</v>
      </c>
      <c r="AL234">
        <v>0.95950000000000002</v>
      </c>
      <c r="AM234">
        <v>186.63</v>
      </c>
      <c r="AN234">
        <v>102.66</v>
      </c>
      <c r="AO234">
        <v>100.24</v>
      </c>
      <c r="AP234">
        <v>99.68</v>
      </c>
      <c r="AQ234">
        <v>99.74</v>
      </c>
    </row>
    <row r="235" spans="1:43" x14ac:dyDescent="0.25">
      <c r="A235" s="7">
        <v>44742</v>
      </c>
      <c r="B235">
        <v>1.6262000000000001</v>
      </c>
      <c r="C235">
        <v>1.1890000000000001</v>
      </c>
      <c r="D235">
        <v>-0.499</v>
      </c>
      <c r="E235">
        <v>-0.14499999999999999</v>
      </c>
      <c r="F235">
        <v>2.9533</v>
      </c>
      <c r="G235">
        <v>1.8315999999999999</v>
      </c>
      <c r="H235">
        <v>0.63200000000000001</v>
      </c>
      <c r="I235">
        <v>-6.5000000000000002E-2</v>
      </c>
      <c r="J235">
        <v>3.0129000000000001</v>
      </c>
      <c r="K235">
        <v>2.2275999999999998</v>
      </c>
      <c r="L235">
        <v>1.333</v>
      </c>
      <c r="M235">
        <v>0.22500000000000001</v>
      </c>
      <c r="N235">
        <v>28.71</v>
      </c>
      <c r="O235">
        <v>294.83800000000002</v>
      </c>
      <c r="P235">
        <v>104.685</v>
      </c>
      <c r="Q235">
        <v>127.1571</v>
      </c>
      <c r="R235">
        <v>5.2568000000000001</v>
      </c>
      <c r="S235">
        <v>105.76</v>
      </c>
      <c r="T235">
        <v>114.81</v>
      </c>
      <c r="U235">
        <v>571.38</v>
      </c>
      <c r="V235">
        <v>1098.6500000000001</v>
      </c>
      <c r="W235">
        <v>2546.19</v>
      </c>
      <c r="X235">
        <v>1000.67</v>
      </c>
      <c r="Y235">
        <v>98541.95</v>
      </c>
      <c r="Z235">
        <v>12.7563</v>
      </c>
      <c r="AA235">
        <v>12.666</v>
      </c>
      <c r="AB235">
        <v>12.881600000000001</v>
      </c>
      <c r="AC235">
        <v>12.638299999999999</v>
      </c>
      <c r="AD235">
        <v>13.0563</v>
      </c>
      <c r="AE235">
        <v>13.8</v>
      </c>
      <c r="AF235">
        <v>13.15</v>
      </c>
      <c r="AG235">
        <v>1.0484</v>
      </c>
      <c r="AH235">
        <v>135.72</v>
      </c>
      <c r="AI235">
        <v>1.2178</v>
      </c>
      <c r="AJ235">
        <v>1.2873000000000001</v>
      </c>
      <c r="AK235">
        <v>10.2239</v>
      </c>
      <c r="AL235">
        <v>0.95509999999999995</v>
      </c>
      <c r="AM235">
        <v>186.63</v>
      </c>
      <c r="AN235">
        <v>101.8</v>
      </c>
      <c r="AO235">
        <v>100.19</v>
      </c>
      <c r="AP235">
        <v>99.48</v>
      </c>
      <c r="AQ235">
        <v>99.25</v>
      </c>
    </row>
    <row r="236" spans="1:43" x14ac:dyDescent="0.25">
      <c r="A236" s="7">
        <v>44771</v>
      </c>
      <c r="B236">
        <v>2.3168000000000002</v>
      </c>
      <c r="C236">
        <v>1.722</v>
      </c>
      <c r="D236">
        <v>-0.06</v>
      </c>
      <c r="E236">
        <v>-0.14799999999999999</v>
      </c>
      <c r="F236">
        <v>2.8843999999999999</v>
      </c>
      <c r="G236">
        <v>1.6956</v>
      </c>
      <c r="H236">
        <v>0.26400000000000001</v>
      </c>
      <c r="I236">
        <v>-8.7999999999999995E-2</v>
      </c>
      <c r="J236">
        <v>2.6486999999999998</v>
      </c>
      <c r="K236">
        <v>1.8614999999999999</v>
      </c>
      <c r="L236">
        <v>0.81399999999999995</v>
      </c>
      <c r="M236">
        <v>0.17799999999999999</v>
      </c>
      <c r="N236">
        <v>21.33</v>
      </c>
      <c r="O236">
        <v>273.589</v>
      </c>
      <c r="P236">
        <v>105.90300000000001</v>
      </c>
      <c r="Q236">
        <v>129.77250000000001</v>
      </c>
      <c r="R236">
        <v>5.1733000000000002</v>
      </c>
      <c r="S236">
        <v>98.62</v>
      </c>
      <c r="T236">
        <v>110.01</v>
      </c>
      <c r="U236">
        <v>549.30999999999995</v>
      </c>
      <c r="V236">
        <v>1070.05</v>
      </c>
      <c r="W236">
        <v>2746.37</v>
      </c>
      <c r="X236">
        <v>993.78</v>
      </c>
      <c r="Y236">
        <v>103164.69</v>
      </c>
      <c r="Z236">
        <v>12.709300000000001</v>
      </c>
      <c r="AA236">
        <v>12.636100000000001</v>
      </c>
      <c r="AB236">
        <v>12.7974</v>
      </c>
      <c r="AC236">
        <v>12.6104</v>
      </c>
      <c r="AD236">
        <v>12.9467</v>
      </c>
      <c r="AE236">
        <v>13.736700000000001</v>
      </c>
      <c r="AF236">
        <v>13.15</v>
      </c>
      <c r="AG236">
        <v>1.022</v>
      </c>
      <c r="AH236">
        <v>133.27000000000001</v>
      </c>
      <c r="AI236">
        <v>1.2171000000000001</v>
      </c>
      <c r="AJ236">
        <v>1.2795000000000001</v>
      </c>
      <c r="AK236">
        <v>10.155099999999999</v>
      </c>
      <c r="AL236">
        <v>0.95240000000000002</v>
      </c>
      <c r="AM236">
        <v>186.63</v>
      </c>
      <c r="AN236">
        <v>107.15</v>
      </c>
      <c r="AO236">
        <v>101.07</v>
      </c>
      <c r="AP236">
        <v>101.41</v>
      </c>
      <c r="AQ236">
        <v>104</v>
      </c>
    </row>
    <row r="237" spans="1:43" x14ac:dyDescent="0.25">
      <c r="A237" s="7">
        <v>44804</v>
      </c>
      <c r="B237">
        <v>2.9003000000000001</v>
      </c>
      <c r="C237">
        <v>2.258</v>
      </c>
      <c r="D237">
        <v>3.2000000000000001E-2</v>
      </c>
      <c r="E237">
        <v>-0.11799999999999999</v>
      </c>
      <c r="F237">
        <v>3.4929000000000001</v>
      </c>
      <c r="G237">
        <v>2.9944000000000002</v>
      </c>
      <c r="H237">
        <v>1.1839999999999999</v>
      </c>
      <c r="I237">
        <v>-8.6999999999999994E-2</v>
      </c>
      <c r="J237">
        <v>3.1926000000000001</v>
      </c>
      <c r="K237">
        <v>2.7984</v>
      </c>
      <c r="L237">
        <v>1.5369999999999999</v>
      </c>
      <c r="M237">
        <v>0.22</v>
      </c>
      <c r="N237">
        <v>25.87</v>
      </c>
      <c r="O237">
        <v>263.24599999999998</v>
      </c>
      <c r="P237">
        <v>108.7</v>
      </c>
      <c r="Q237">
        <v>129.023</v>
      </c>
      <c r="R237">
        <v>5.1839000000000004</v>
      </c>
      <c r="S237">
        <v>89.55</v>
      </c>
      <c r="T237">
        <v>96.49</v>
      </c>
      <c r="U237">
        <v>560.84</v>
      </c>
      <c r="V237">
        <v>1032.73</v>
      </c>
      <c r="W237">
        <v>2627.32</v>
      </c>
      <c r="X237">
        <v>994.11</v>
      </c>
      <c r="Y237">
        <v>109522.88</v>
      </c>
      <c r="Z237">
        <v>11.9307</v>
      </c>
      <c r="AA237">
        <v>11.811999999999999</v>
      </c>
      <c r="AB237">
        <v>12.104200000000001</v>
      </c>
      <c r="AC237">
        <v>11.829700000000001</v>
      </c>
      <c r="AD237">
        <v>12.270899999999999</v>
      </c>
      <c r="AE237">
        <v>13.415800000000001</v>
      </c>
      <c r="AF237">
        <v>13.65</v>
      </c>
      <c r="AG237">
        <v>1.0054000000000001</v>
      </c>
      <c r="AH237">
        <v>138.96</v>
      </c>
      <c r="AI237">
        <v>1.1621999999999999</v>
      </c>
      <c r="AJ237">
        <v>1.3129999999999999</v>
      </c>
      <c r="AK237">
        <v>10.659700000000001</v>
      </c>
      <c r="AL237">
        <v>0.97750000000000004</v>
      </c>
      <c r="AM237">
        <v>186.63</v>
      </c>
      <c r="AN237">
        <v>110.72</v>
      </c>
      <c r="AO237">
        <v>99.8</v>
      </c>
      <c r="AP237">
        <v>101.06</v>
      </c>
      <c r="AQ237">
        <v>104.53</v>
      </c>
    </row>
    <row r="238" spans="1:43" x14ac:dyDescent="0.25">
      <c r="A238" s="7">
        <v>44834</v>
      </c>
      <c r="B238">
        <v>3.2465999999999999</v>
      </c>
      <c r="C238">
        <v>2.48</v>
      </c>
      <c r="D238">
        <v>0.76200000000000001</v>
      </c>
      <c r="E238">
        <v>-0.21099999999999999</v>
      </c>
      <c r="F238">
        <v>4.2786999999999997</v>
      </c>
      <c r="G238">
        <v>4.1996000000000002</v>
      </c>
      <c r="H238">
        <v>1.7470000000000001</v>
      </c>
      <c r="I238">
        <v>-5.2999999999999999E-2</v>
      </c>
      <c r="J238">
        <v>3.8285999999999998</v>
      </c>
      <c r="K238">
        <v>4.0846</v>
      </c>
      <c r="L238">
        <v>2.105</v>
      </c>
      <c r="M238">
        <v>0.23799999999999999</v>
      </c>
      <c r="N238">
        <v>31.62</v>
      </c>
      <c r="O238">
        <v>312.63</v>
      </c>
      <c r="P238">
        <v>112.117</v>
      </c>
      <c r="Q238">
        <v>131.64510000000001</v>
      </c>
      <c r="R238">
        <v>5.4154999999999998</v>
      </c>
      <c r="S238">
        <v>79.489999999999995</v>
      </c>
      <c r="T238">
        <v>87.96</v>
      </c>
      <c r="U238">
        <v>547.21</v>
      </c>
      <c r="V238">
        <v>964.27</v>
      </c>
      <c r="W238">
        <v>2378.65</v>
      </c>
      <c r="X238">
        <v>875.79</v>
      </c>
      <c r="Y238">
        <v>110036.79</v>
      </c>
      <c r="Z238">
        <v>11.670999999999999</v>
      </c>
      <c r="AA238">
        <v>11.5778</v>
      </c>
      <c r="AB238">
        <v>11.825799999999999</v>
      </c>
      <c r="AC238">
        <v>11.4758</v>
      </c>
      <c r="AD238">
        <v>11.8124</v>
      </c>
      <c r="AE238">
        <v>13.1821</v>
      </c>
      <c r="AF238">
        <v>13.65</v>
      </c>
      <c r="AG238">
        <v>0.98019999999999996</v>
      </c>
      <c r="AH238">
        <v>144.74</v>
      </c>
      <c r="AI238">
        <v>1.117</v>
      </c>
      <c r="AJ238">
        <v>1.3829</v>
      </c>
      <c r="AK238">
        <v>11.0892</v>
      </c>
      <c r="AL238">
        <v>0.98699999999999999</v>
      </c>
      <c r="AM238">
        <v>186.63</v>
      </c>
      <c r="AN238">
        <v>105.57</v>
      </c>
      <c r="AO238">
        <v>98.16</v>
      </c>
      <c r="AP238">
        <v>101.08</v>
      </c>
      <c r="AQ238">
        <v>101.13</v>
      </c>
    </row>
    <row r="239" spans="1:43" x14ac:dyDescent="0.25">
      <c r="A239" s="7">
        <v>44865</v>
      </c>
      <c r="B239">
        <v>4.0559000000000003</v>
      </c>
      <c r="C239">
        <v>2.706</v>
      </c>
      <c r="D239">
        <v>0.95399999999999996</v>
      </c>
      <c r="E239">
        <v>-0.13</v>
      </c>
      <c r="F239">
        <v>4.4824000000000002</v>
      </c>
      <c r="G239">
        <v>3.2473000000000001</v>
      </c>
      <c r="H239">
        <v>1.927</v>
      </c>
      <c r="I239">
        <v>-5.0999999999999997E-2</v>
      </c>
      <c r="J239">
        <v>4.0477999999999996</v>
      </c>
      <c r="K239">
        <v>3.5065</v>
      </c>
      <c r="L239">
        <v>2.1389999999999998</v>
      </c>
      <c r="M239">
        <v>0.24099999999999999</v>
      </c>
      <c r="N239">
        <v>25.88</v>
      </c>
      <c r="O239">
        <v>277.01900000000001</v>
      </c>
      <c r="P239">
        <v>111.527</v>
      </c>
      <c r="Q239">
        <v>133.66200000000001</v>
      </c>
      <c r="R239">
        <v>5.1797000000000004</v>
      </c>
      <c r="S239">
        <v>86.53</v>
      </c>
      <c r="T239">
        <v>94.83</v>
      </c>
      <c r="U239">
        <v>552.23</v>
      </c>
      <c r="V239">
        <v>913.51</v>
      </c>
      <c r="W239">
        <v>2547.7199999999998</v>
      </c>
      <c r="X239">
        <v>848.16</v>
      </c>
      <c r="Y239">
        <v>116037.08</v>
      </c>
      <c r="Z239">
        <v>11.601900000000001</v>
      </c>
      <c r="AA239">
        <v>11.505100000000001</v>
      </c>
      <c r="AB239">
        <v>11.6593</v>
      </c>
      <c r="AC239">
        <v>11.5464</v>
      </c>
      <c r="AD239">
        <v>11.8489</v>
      </c>
      <c r="AE239">
        <v>13.142300000000001</v>
      </c>
      <c r="AF239">
        <v>13.65</v>
      </c>
      <c r="AG239">
        <v>0.98819999999999997</v>
      </c>
      <c r="AH239">
        <v>148.71</v>
      </c>
      <c r="AI239">
        <v>1.1469</v>
      </c>
      <c r="AJ239">
        <v>1.3624000000000001</v>
      </c>
      <c r="AK239">
        <v>11.037000000000001</v>
      </c>
      <c r="AL239">
        <v>1.0013000000000001</v>
      </c>
      <c r="AM239">
        <v>186.63</v>
      </c>
      <c r="AN239">
        <v>105.86</v>
      </c>
      <c r="AO239">
        <v>99.79</v>
      </c>
      <c r="AP239">
        <v>101.49</v>
      </c>
      <c r="AQ239">
        <v>100.17</v>
      </c>
    </row>
    <row r="240" spans="1:43" x14ac:dyDescent="0.25">
      <c r="A240" s="7">
        <v>44895</v>
      </c>
      <c r="B240">
        <v>4.3196000000000003</v>
      </c>
      <c r="C240">
        <v>2.9750000000000001</v>
      </c>
      <c r="D240">
        <v>1.2190000000000001</v>
      </c>
      <c r="E240">
        <v>-0.18099999999999999</v>
      </c>
      <c r="F240">
        <v>4.3102</v>
      </c>
      <c r="G240">
        <v>3.2568999999999999</v>
      </c>
      <c r="H240">
        <v>2.1120000000000001</v>
      </c>
      <c r="I240">
        <v>-2.9000000000000001E-2</v>
      </c>
      <c r="J240">
        <v>3.6053999999999999</v>
      </c>
      <c r="K240">
        <v>3.1553</v>
      </c>
      <c r="L240">
        <v>1.9259999999999999</v>
      </c>
      <c r="M240">
        <v>0.249</v>
      </c>
      <c r="N240">
        <v>20.58</v>
      </c>
      <c r="O240">
        <v>246.94399999999999</v>
      </c>
      <c r="P240">
        <v>105.95</v>
      </c>
      <c r="Q240">
        <v>131.8784</v>
      </c>
      <c r="R240">
        <v>5.1905999999999999</v>
      </c>
      <c r="S240">
        <v>80.55</v>
      </c>
      <c r="T240">
        <v>85.43</v>
      </c>
      <c r="U240">
        <v>557.74</v>
      </c>
      <c r="V240">
        <v>980.3</v>
      </c>
      <c r="W240">
        <v>2720.89</v>
      </c>
      <c r="X240">
        <v>972.29</v>
      </c>
      <c r="Y240">
        <v>112486.01</v>
      </c>
      <c r="Z240">
        <v>12.678000000000001</v>
      </c>
      <c r="AA240">
        <v>12.5922</v>
      </c>
      <c r="AB240">
        <v>12.6088</v>
      </c>
      <c r="AC240">
        <v>12.7827</v>
      </c>
      <c r="AD240">
        <v>13.092700000000001</v>
      </c>
      <c r="AE240">
        <v>13.938000000000001</v>
      </c>
      <c r="AF240">
        <v>13.65</v>
      </c>
      <c r="AG240">
        <v>1.0406</v>
      </c>
      <c r="AH240">
        <v>138.07</v>
      </c>
      <c r="AI240">
        <v>1.2058</v>
      </c>
      <c r="AJ240">
        <v>1.3411999999999999</v>
      </c>
      <c r="AK240">
        <v>10.4976</v>
      </c>
      <c r="AL240">
        <v>0.94569999999999999</v>
      </c>
      <c r="AM240">
        <v>186.63</v>
      </c>
      <c r="AN240">
        <v>101.38</v>
      </c>
      <c r="AO240">
        <v>99.8</v>
      </c>
      <c r="AP240">
        <v>100.67</v>
      </c>
      <c r="AQ240">
        <v>99.05</v>
      </c>
    </row>
    <row r="241" spans="1:43" x14ac:dyDescent="0.25">
      <c r="A241" s="7">
        <v>44925</v>
      </c>
      <c r="B241">
        <v>4.3429000000000002</v>
      </c>
      <c r="C241">
        <v>3.41</v>
      </c>
      <c r="D241">
        <v>1.5580000000000001</v>
      </c>
      <c r="E241">
        <v>-0.16900000000000001</v>
      </c>
      <c r="F241">
        <v>4.4257999999999997</v>
      </c>
      <c r="G241">
        <v>3.5343</v>
      </c>
      <c r="H241">
        <v>2.738</v>
      </c>
      <c r="I241">
        <v>3.2000000000000001E-2</v>
      </c>
      <c r="J241">
        <v>3.8748</v>
      </c>
      <c r="K241">
        <v>3.6646999999999998</v>
      </c>
      <c r="L241">
        <v>2.5649999999999999</v>
      </c>
      <c r="M241">
        <v>0.41299999999999998</v>
      </c>
      <c r="N241">
        <v>21.67</v>
      </c>
      <c r="O241">
        <v>254.42</v>
      </c>
      <c r="P241">
        <v>103.52200000000001</v>
      </c>
      <c r="Q241">
        <v>129.74340000000001</v>
      </c>
      <c r="R241">
        <v>5.2804000000000002</v>
      </c>
      <c r="S241">
        <v>80.260000000000005</v>
      </c>
      <c r="T241">
        <v>85.91</v>
      </c>
      <c r="U241">
        <v>533.35</v>
      </c>
      <c r="V241">
        <v>1011.58</v>
      </c>
      <c r="W241">
        <v>2602.69</v>
      </c>
      <c r="X241">
        <v>956.38</v>
      </c>
      <c r="Y241">
        <v>109734.6</v>
      </c>
      <c r="Z241">
        <v>12.663600000000001</v>
      </c>
      <c r="AA241">
        <v>12.6182</v>
      </c>
      <c r="AB241">
        <v>12.610799999999999</v>
      </c>
      <c r="AC241">
        <v>12.5824</v>
      </c>
      <c r="AD241">
        <v>12.664099999999999</v>
      </c>
      <c r="AE241">
        <v>13.4101</v>
      </c>
      <c r="AF241">
        <v>13.65</v>
      </c>
      <c r="AG241">
        <v>1.0705</v>
      </c>
      <c r="AH241">
        <v>131.12</v>
      </c>
      <c r="AI241">
        <v>1.2082999999999999</v>
      </c>
      <c r="AJ241">
        <v>1.3553999999999999</v>
      </c>
      <c r="AK241">
        <v>10.4283</v>
      </c>
      <c r="AL241">
        <v>0.92449999999999999</v>
      </c>
      <c r="AM241">
        <v>186.63</v>
      </c>
      <c r="AN241">
        <v>91.95</v>
      </c>
      <c r="AO241">
        <v>99.95</v>
      </c>
      <c r="AP241">
        <v>100.41</v>
      </c>
      <c r="AQ241">
        <v>99.99</v>
      </c>
    </row>
    <row r="242" spans="1:43" x14ac:dyDescent="0.25">
      <c r="A242" s="7">
        <v>44957</v>
      </c>
      <c r="B242">
        <v>4.6414999999999997</v>
      </c>
      <c r="C242">
        <v>3.82</v>
      </c>
      <c r="D242">
        <v>2.137</v>
      </c>
      <c r="E242">
        <v>-0.17199999999999999</v>
      </c>
      <c r="F242">
        <v>4.2011000000000003</v>
      </c>
      <c r="G242">
        <v>3.4329999999999998</v>
      </c>
      <c r="H242">
        <v>2.6440000000000001</v>
      </c>
      <c r="I242">
        <v>-2.7E-2</v>
      </c>
      <c r="J242">
        <v>3.5068999999999999</v>
      </c>
      <c r="K242">
        <v>3.3296000000000001</v>
      </c>
      <c r="L242">
        <v>2.2829999999999999</v>
      </c>
      <c r="M242">
        <v>0.48799999999999999</v>
      </c>
      <c r="N242">
        <v>19.399999999999999</v>
      </c>
      <c r="O242">
        <v>231.23699999999999</v>
      </c>
      <c r="P242">
        <v>102.09699999999999</v>
      </c>
      <c r="Q242">
        <v>126.64449999999999</v>
      </c>
      <c r="R242">
        <v>5.0757000000000003</v>
      </c>
      <c r="S242">
        <v>78.87</v>
      </c>
      <c r="T242">
        <v>84.49</v>
      </c>
      <c r="U242">
        <v>521.95000000000005</v>
      </c>
      <c r="V242">
        <v>1120.19</v>
      </c>
      <c r="W242">
        <v>2785</v>
      </c>
      <c r="X242">
        <v>1031.5</v>
      </c>
      <c r="Y242">
        <v>113430.54</v>
      </c>
      <c r="Z242">
        <v>13.001200000000001</v>
      </c>
      <c r="AA242">
        <v>12.8474</v>
      </c>
      <c r="AB242">
        <v>13.054399999999999</v>
      </c>
      <c r="AC242">
        <v>12.7301</v>
      </c>
      <c r="AD242">
        <v>12.7796</v>
      </c>
      <c r="AE242">
        <v>13.4556</v>
      </c>
      <c r="AF242">
        <v>13.65</v>
      </c>
      <c r="AG242">
        <v>1.0863</v>
      </c>
      <c r="AH242">
        <v>130.09</v>
      </c>
      <c r="AI242">
        <v>1.232</v>
      </c>
      <c r="AJ242">
        <v>1.3306</v>
      </c>
      <c r="AK242">
        <v>10.4641</v>
      </c>
      <c r="AL242">
        <v>0.91620000000000001</v>
      </c>
      <c r="AM242">
        <v>186.63</v>
      </c>
      <c r="AN242">
        <v>90.4</v>
      </c>
      <c r="AO242">
        <v>99.72</v>
      </c>
      <c r="AP242">
        <v>100.17</v>
      </c>
      <c r="AQ242">
        <v>95.24</v>
      </c>
    </row>
    <row r="243" spans="1:43" x14ac:dyDescent="0.25">
      <c r="A243" s="7">
        <v>44985</v>
      </c>
      <c r="B243">
        <v>4.7686999999999999</v>
      </c>
      <c r="C243">
        <v>3.9769999999999999</v>
      </c>
      <c r="D243">
        <v>2.64</v>
      </c>
      <c r="E243">
        <v>-0.17699999999999999</v>
      </c>
      <c r="F243">
        <v>4.8158000000000003</v>
      </c>
      <c r="G243">
        <v>3.6772</v>
      </c>
      <c r="H243">
        <v>3.1280000000000001</v>
      </c>
      <c r="I243">
        <v>-4.2000000000000003E-2</v>
      </c>
      <c r="J243">
        <v>3.92</v>
      </c>
      <c r="K243">
        <v>3.8239000000000001</v>
      </c>
      <c r="L243">
        <v>2.6480000000000001</v>
      </c>
      <c r="M243">
        <v>0.5</v>
      </c>
      <c r="N243">
        <v>20.7</v>
      </c>
      <c r="O243">
        <v>232.06899999999999</v>
      </c>
      <c r="P243">
        <v>104.869</v>
      </c>
      <c r="Q243">
        <v>126.758</v>
      </c>
      <c r="R243">
        <v>5.2363999999999997</v>
      </c>
      <c r="S243">
        <v>77.05</v>
      </c>
      <c r="T243">
        <v>83.89</v>
      </c>
      <c r="U243">
        <v>527.16</v>
      </c>
      <c r="V243">
        <v>1067.57</v>
      </c>
      <c r="W243">
        <v>2714.57</v>
      </c>
      <c r="X243">
        <v>964.01</v>
      </c>
      <c r="Y243">
        <v>104931.93</v>
      </c>
      <c r="Z243">
        <v>13.171900000000001</v>
      </c>
      <c r="AA243">
        <v>13.098599999999999</v>
      </c>
      <c r="AB243">
        <v>13.419700000000001</v>
      </c>
      <c r="AC243">
        <v>12.774900000000001</v>
      </c>
      <c r="AD243">
        <v>12.668100000000001</v>
      </c>
      <c r="AE243">
        <v>13.257199999999999</v>
      </c>
      <c r="AF243">
        <v>13.65</v>
      </c>
      <c r="AG243">
        <v>1.0576000000000001</v>
      </c>
      <c r="AH243">
        <v>136.16999999999999</v>
      </c>
      <c r="AI243">
        <v>1.2021999999999999</v>
      </c>
      <c r="AJ243">
        <v>1.3647</v>
      </c>
      <c r="AK243">
        <v>10.4681</v>
      </c>
      <c r="AL243">
        <v>0.94220000000000004</v>
      </c>
      <c r="AM243">
        <v>186.63</v>
      </c>
      <c r="AN243">
        <v>87.43</v>
      </c>
      <c r="AO243">
        <v>99.55</v>
      </c>
      <c r="AP243">
        <v>103.23</v>
      </c>
      <c r="AQ243">
        <v>98.63</v>
      </c>
    </row>
    <row r="244" spans="1:43" x14ac:dyDescent="0.25">
      <c r="A244" s="7">
        <v>45016</v>
      </c>
      <c r="B244">
        <v>4.6929999999999996</v>
      </c>
      <c r="C244">
        <v>4.1989999999999998</v>
      </c>
      <c r="D244">
        <v>2.6709999999999998</v>
      </c>
      <c r="E244">
        <v>-0.218</v>
      </c>
      <c r="F244">
        <v>4.0252999999999997</v>
      </c>
      <c r="G244">
        <v>3.4276</v>
      </c>
      <c r="H244">
        <v>2.673</v>
      </c>
      <c r="I244">
        <v>-6.0999999999999999E-2</v>
      </c>
      <c r="J244">
        <v>3.4676</v>
      </c>
      <c r="K244">
        <v>3.4864000000000002</v>
      </c>
      <c r="L244">
        <v>2.2890000000000001</v>
      </c>
      <c r="M244">
        <v>0.32800000000000001</v>
      </c>
      <c r="N244">
        <v>18.7</v>
      </c>
      <c r="O244">
        <v>228.786</v>
      </c>
      <c r="P244">
        <v>102.506</v>
      </c>
      <c r="Q244">
        <v>127.01479999999999</v>
      </c>
      <c r="R244">
        <v>5.0631000000000004</v>
      </c>
      <c r="S244">
        <v>75.67</v>
      </c>
      <c r="T244">
        <v>79.77</v>
      </c>
      <c r="U244">
        <v>533.88</v>
      </c>
      <c r="V244">
        <v>1088.08</v>
      </c>
      <c r="W244">
        <v>2791.44</v>
      </c>
      <c r="X244">
        <v>990.28</v>
      </c>
      <c r="Y244">
        <v>101882.2</v>
      </c>
      <c r="Z244">
        <v>13.171900000000001</v>
      </c>
      <c r="AA244">
        <v>12.3413</v>
      </c>
      <c r="AB244">
        <v>12.9282</v>
      </c>
      <c r="AC244">
        <v>11.976699999999999</v>
      </c>
      <c r="AD244">
        <v>11.9565</v>
      </c>
      <c r="AE244">
        <v>12.8527</v>
      </c>
      <c r="AF244">
        <v>13.65</v>
      </c>
      <c r="AG244">
        <v>1.0839000000000001</v>
      </c>
      <c r="AH244">
        <v>132.86000000000001</v>
      </c>
      <c r="AI244">
        <v>1.2337</v>
      </c>
      <c r="AJ244">
        <v>1.3515999999999999</v>
      </c>
      <c r="AK244">
        <v>10.404400000000001</v>
      </c>
      <c r="AL244">
        <v>0.9153</v>
      </c>
      <c r="AM244">
        <v>186.63</v>
      </c>
      <c r="AN244">
        <v>99.39</v>
      </c>
      <c r="AO244">
        <v>100.27</v>
      </c>
      <c r="AP244">
        <v>102.93</v>
      </c>
      <c r="AQ244">
        <v>110.77</v>
      </c>
    </row>
    <row r="245" spans="1:43" x14ac:dyDescent="0.25">
      <c r="A245" s="7">
        <v>45044</v>
      </c>
      <c r="B245">
        <v>5.0301999999999998</v>
      </c>
      <c r="C245">
        <v>4.3120000000000003</v>
      </c>
      <c r="D245">
        <v>2.7210000000000001</v>
      </c>
      <c r="E245">
        <v>-0.18099999999999999</v>
      </c>
      <c r="F245">
        <v>4.0064000000000002</v>
      </c>
      <c r="G245">
        <v>3.7679</v>
      </c>
      <c r="H245">
        <v>2.6749999999999998</v>
      </c>
      <c r="I245">
        <v>-4.2000000000000003E-2</v>
      </c>
      <c r="J245">
        <v>3.4220000000000002</v>
      </c>
      <c r="K245">
        <v>3.7153999999999998</v>
      </c>
      <c r="L245">
        <v>2.31</v>
      </c>
      <c r="M245">
        <v>0.38500000000000001</v>
      </c>
      <c r="N245">
        <v>15.78</v>
      </c>
      <c r="O245">
        <v>224.56299999999999</v>
      </c>
      <c r="P245">
        <v>101.65900000000001</v>
      </c>
      <c r="Q245">
        <v>126.1816</v>
      </c>
      <c r="R245">
        <v>4.9880000000000004</v>
      </c>
      <c r="S245">
        <v>76.78</v>
      </c>
      <c r="T245">
        <v>79.540000000000006</v>
      </c>
      <c r="U245">
        <v>528.03</v>
      </c>
      <c r="V245">
        <v>1056.98</v>
      </c>
      <c r="W245">
        <v>2835.93</v>
      </c>
      <c r="X245">
        <v>977.05</v>
      </c>
      <c r="Y245">
        <v>104431.63</v>
      </c>
      <c r="Z245">
        <v>13.171900000000001</v>
      </c>
      <c r="AA245">
        <v>12.0108</v>
      </c>
      <c r="AB245">
        <v>12.445499999999999</v>
      </c>
      <c r="AC245">
        <v>11.7873</v>
      </c>
      <c r="AD245">
        <v>11.923400000000001</v>
      </c>
      <c r="AE245">
        <v>12.8256</v>
      </c>
      <c r="AF245">
        <v>13.65</v>
      </c>
      <c r="AG245">
        <v>1.1019000000000001</v>
      </c>
      <c r="AH245">
        <v>136.30000000000001</v>
      </c>
      <c r="AI245">
        <v>1.2566999999999999</v>
      </c>
      <c r="AJ245">
        <v>1.3552</v>
      </c>
      <c r="AK245">
        <v>10.264799999999999</v>
      </c>
      <c r="AL245">
        <v>0.89459999999999995</v>
      </c>
      <c r="AM245">
        <v>186.63</v>
      </c>
      <c r="AN245">
        <v>92.04</v>
      </c>
      <c r="AO245">
        <v>99.89</v>
      </c>
      <c r="AP245">
        <v>104.37</v>
      </c>
      <c r="AQ245">
        <v>103.94</v>
      </c>
    </row>
    <row r="246" spans="1:43" x14ac:dyDescent="0.25">
      <c r="A246" s="7">
        <v>45077</v>
      </c>
      <c r="B246">
        <v>5.3883999999999999</v>
      </c>
      <c r="C246">
        <v>4.7279999999999998</v>
      </c>
      <c r="D246">
        <v>2.887</v>
      </c>
      <c r="E246">
        <v>-0.18099999999999999</v>
      </c>
      <c r="F246">
        <v>4.4027000000000003</v>
      </c>
      <c r="G246">
        <v>4.3217999999999996</v>
      </c>
      <c r="H246">
        <v>2.7069999999999999</v>
      </c>
      <c r="I246">
        <v>-5.6000000000000001E-2</v>
      </c>
      <c r="J246">
        <v>3.6425999999999998</v>
      </c>
      <c r="K246">
        <v>4.1787000000000001</v>
      </c>
      <c r="L246">
        <v>2.2799999999999998</v>
      </c>
      <c r="M246">
        <v>0.43</v>
      </c>
      <c r="N246">
        <v>17.940000000000001</v>
      </c>
      <c r="O246">
        <v>212.33199999999999</v>
      </c>
      <c r="P246">
        <v>104.32599999999999</v>
      </c>
      <c r="Q246">
        <v>126.0915</v>
      </c>
      <c r="R246">
        <v>5.0556000000000001</v>
      </c>
      <c r="S246">
        <v>68.09</v>
      </c>
      <c r="T246">
        <v>72.66</v>
      </c>
      <c r="U246">
        <v>532.58000000000004</v>
      </c>
      <c r="V246">
        <v>987</v>
      </c>
      <c r="W246">
        <v>2800.56</v>
      </c>
      <c r="X246">
        <v>958.53</v>
      </c>
      <c r="Y246">
        <v>108335.07</v>
      </c>
      <c r="Z246">
        <v>13.171900000000001</v>
      </c>
      <c r="AA246">
        <v>11.144299999999999</v>
      </c>
      <c r="AB246">
        <v>11.6248</v>
      </c>
      <c r="AC246">
        <v>10.872999999999999</v>
      </c>
      <c r="AD246">
        <v>11.1319</v>
      </c>
      <c r="AE246">
        <v>12.412100000000001</v>
      </c>
      <c r="AF246">
        <v>13.65</v>
      </c>
      <c r="AG246">
        <v>1.0689</v>
      </c>
      <c r="AH246">
        <v>139.34</v>
      </c>
      <c r="AI246">
        <v>1.2441</v>
      </c>
      <c r="AJ246">
        <v>1.3573999999999999</v>
      </c>
      <c r="AK246">
        <v>10.8567</v>
      </c>
      <c r="AL246">
        <v>0.91069999999999995</v>
      </c>
      <c r="AM246">
        <v>186.63</v>
      </c>
      <c r="AN246">
        <v>104.74</v>
      </c>
      <c r="AO246">
        <v>100.6</v>
      </c>
      <c r="AP246">
        <v>102.52</v>
      </c>
      <c r="AQ246">
        <v>102.77</v>
      </c>
    </row>
    <row r="247" spans="1:43" x14ac:dyDescent="0.25">
      <c r="A247" s="7">
        <v>45107</v>
      </c>
      <c r="B247">
        <v>5.2835999999999999</v>
      </c>
      <c r="C247">
        <v>5.2</v>
      </c>
      <c r="D247">
        <v>3.335</v>
      </c>
      <c r="E247">
        <v>-0.105</v>
      </c>
      <c r="F247">
        <v>4.8954000000000004</v>
      </c>
      <c r="G247">
        <v>5.2534000000000001</v>
      </c>
      <c r="H247">
        <v>3.1880000000000002</v>
      </c>
      <c r="I247">
        <v>-7.2999999999999995E-2</v>
      </c>
      <c r="J247">
        <v>3.8367</v>
      </c>
      <c r="K247">
        <v>4.383</v>
      </c>
      <c r="L247">
        <v>2.39</v>
      </c>
      <c r="M247">
        <v>0.39400000000000002</v>
      </c>
      <c r="N247">
        <v>13.59</v>
      </c>
      <c r="O247">
        <v>176.68899999999999</v>
      </c>
      <c r="P247">
        <v>102.91200000000001</v>
      </c>
      <c r="Q247">
        <v>125.5637</v>
      </c>
      <c r="R247">
        <v>4.7854000000000001</v>
      </c>
      <c r="S247">
        <v>70.64</v>
      </c>
      <c r="T247">
        <v>74.900000000000006</v>
      </c>
      <c r="U247">
        <v>543.66</v>
      </c>
      <c r="V247">
        <v>992.69</v>
      </c>
      <c r="W247">
        <v>2966.72</v>
      </c>
      <c r="X247">
        <v>989.48</v>
      </c>
      <c r="Y247">
        <v>118087</v>
      </c>
      <c r="Z247">
        <v>13.171900000000001</v>
      </c>
      <c r="AA247">
        <v>10.3935</v>
      </c>
      <c r="AB247">
        <v>10.7316</v>
      </c>
      <c r="AC247">
        <v>10.1045</v>
      </c>
      <c r="AD247">
        <v>10.339600000000001</v>
      </c>
      <c r="AE247">
        <v>11.6556</v>
      </c>
      <c r="AF247">
        <v>13.65</v>
      </c>
      <c r="AG247">
        <v>1.0909</v>
      </c>
      <c r="AH247">
        <v>144.31</v>
      </c>
      <c r="AI247">
        <v>1.2703</v>
      </c>
      <c r="AJ247">
        <v>1.3242</v>
      </c>
      <c r="AK247">
        <v>10.797700000000001</v>
      </c>
      <c r="AL247">
        <v>0.89559999999999995</v>
      </c>
      <c r="AM247">
        <v>186.63</v>
      </c>
      <c r="AN247">
        <v>101.89</v>
      </c>
      <c r="AO247">
        <v>100.13</v>
      </c>
      <c r="AP247">
        <v>102.38</v>
      </c>
      <c r="AQ247">
        <v>102.23</v>
      </c>
    </row>
    <row r="248" spans="1:43" x14ac:dyDescent="0.25">
      <c r="A248" s="7">
        <v>45138</v>
      </c>
      <c r="B248">
        <v>5.4001000000000001</v>
      </c>
      <c r="C248">
        <v>5.3730000000000002</v>
      </c>
      <c r="D248">
        <v>3.504</v>
      </c>
      <c r="E248">
        <v>-8.5000000000000006E-2</v>
      </c>
      <c r="F248">
        <v>4.8765999999999998</v>
      </c>
      <c r="G248">
        <v>4.9694000000000003</v>
      </c>
      <c r="H248">
        <v>3.0310000000000001</v>
      </c>
      <c r="I248">
        <v>-3.0000000000000001E-3</v>
      </c>
      <c r="J248">
        <v>3.9588000000000001</v>
      </c>
      <c r="K248">
        <v>4.3052999999999999</v>
      </c>
      <c r="L248">
        <v>2.4889999999999999</v>
      </c>
      <c r="M248">
        <v>0.59899999999999998</v>
      </c>
      <c r="N248">
        <v>13.63</v>
      </c>
      <c r="O248">
        <v>164.702</v>
      </c>
      <c r="P248">
        <v>101.855</v>
      </c>
      <c r="Q248">
        <v>124.8058</v>
      </c>
      <c r="R248">
        <v>4.7259000000000002</v>
      </c>
      <c r="S248">
        <v>81.8</v>
      </c>
      <c r="T248">
        <v>85.56</v>
      </c>
      <c r="U248">
        <v>567.30999999999995</v>
      </c>
      <c r="V248">
        <v>1021.05</v>
      </c>
      <c r="W248">
        <v>3064.3</v>
      </c>
      <c r="X248">
        <v>1046.9100000000001</v>
      </c>
      <c r="Y248">
        <v>121942.98</v>
      </c>
      <c r="Z248">
        <v>13.171900000000001</v>
      </c>
      <c r="AA248">
        <v>10.4757</v>
      </c>
      <c r="AB248">
        <v>10.9001</v>
      </c>
      <c r="AC248">
        <v>10.097899999999999</v>
      </c>
      <c r="AD248">
        <v>10.218</v>
      </c>
      <c r="AE248">
        <v>11.2202</v>
      </c>
      <c r="AF248">
        <v>13.65</v>
      </c>
      <c r="AG248">
        <v>1.0996999999999999</v>
      </c>
      <c r="AH248">
        <v>142.29</v>
      </c>
      <c r="AI248">
        <v>1.2835000000000001</v>
      </c>
      <c r="AJ248">
        <v>1.319</v>
      </c>
      <c r="AK248">
        <v>10.5258</v>
      </c>
      <c r="AL248">
        <v>0.87190000000000001</v>
      </c>
      <c r="AM248">
        <v>186.63</v>
      </c>
      <c r="AN248">
        <v>105.51</v>
      </c>
      <c r="AO248">
        <v>99.45</v>
      </c>
      <c r="AP248">
        <v>102.84</v>
      </c>
      <c r="AQ248">
        <v>105.37</v>
      </c>
    </row>
    <row r="249" spans="1:43" x14ac:dyDescent="0.25">
      <c r="A249" s="7">
        <v>45169</v>
      </c>
      <c r="B249">
        <v>5.4353999999999996</v>
      </c>
      <c r="C249">
        <v>5.4569999999999999</v>
      </c>
      <c r="D249">
        <v>3.5569999999999999</v>
      </c>
      <c r="E249">
        <v>-0.27900000000000003</v>
      </c>
      <c r="F249">
        <v>4.8628999999999998</v>
      </c>
      <c r="G249">
        <v>5.1352000000000002</v>
      </c>
      <c r="H249">
        <v>2.9670000000000001</v>
      </c>
      <c r="I249">
        <v>2.7E-2</v>
      </c>
      <c r="J249">
        <v>4.1081000000000003</v>
      </c>
      <c r="K249">
        <v>4.3570000000000002</v>
      </c>
      <c r="L249">
        <v>2.4620000000000002</v>
      </c>
      <c r="M249">
        <v>0.64500000000000002</v>
      </c>
      <c r="N249">
        <v>13.57</v>
      </c>
      <c r="O249">
        <v>167.93799999999999</v>
      </c>
      <c r="P249">
        <v>103.619</v>
      </c>
      <c r="Q249">
        <v>126.3969</v>
      </c>
      <c r="R249">
        <v>4.9550000000000001</v>
      </c>
      <c r="S249">
        <v>83.63</v>
      </c>
      <c r="T249">
        <v>86.86</v>
      </c>
      <c r="U249">
        <v>546.91999999999996</v>
      </c>
      <c r="V249">
        <v>991.06</v>
      </c>
      <c r="W249">
        <v>2986.02</v>
      </c>
      <c r="X249">
        <v>980.33</v>
      </c>
      <c r="Y249">
        <v>115741.81</v>
      </c>
      <c r="Z249">
        <v>13.171900000000001</v>
      </c>
      <c r="AA249">
        <v>10.776</v>
      </c>
      <c r="AB249">
        <v>11.2394</v>
      </c>
      <c r="AC249">
        <v>10.292</v>
      </c>
      <c r="AD249">
        <v>10.2166</v>
      </c>
      <c r="AE249">
        <v>10.9389</v>
      </c>
      <c r="AF249">
        <v>13.15</v>
      </c>
      <c r="AG249">
        <v>1.0843</v>
      </c>
      <c r="AH249">
        <v>145.54</v>
      </c>
      <c r="AI249">
        <v>1.2673000000000001</v>
      </c>
      <c r="AJ249">
        <v>1.3508</v>
      </c>
      <c r="AK249">
        <v>10.9534</v>
      </c>
      <c r="AL249">
        <v>0.88339999999999996</v>
      </c>
      <c r="AM249">
        <v>186.63</v>
      </c>
      <c r="AN249">
        <v>111.27</v>
      </c>
      <c r="AO249">
        <v>100.04</v>
      </c>
      <c r="AP249">
        <v>102.44</v>
      </c>
      <c r="AQ249">
        <v>106.06</v>
      </c>
    </row>
    <row r="250" spans="1:43" x14ac:dyDescent="0.25">
      <c r="A250" s="7">
        <v>45198</v>
      </c>
      <c r="B250">
        <v>5.4459</v>
      </c>
      <c r="C250">
        <v>5.3440000000000003</v>
      </c>
      <c r="D250">
        <v>3.6160000000000001</v>
      </c>
      <c r="E250">
        <v>-0.17399999999999999</v>
      </c>
      <c r="F250">
        <v>5.0435999999999996</v>
      </c>
      <c r="G250">
        <v>4.8865999999999996</v>
      </c>
      <c r="H250">
        <v>3.198</v>
      </c>
      <c r="I250">
        <v>4.3999999999999997E-2</v>
      </c>
      <c r="J250">
        <v>4.5711000000000004</v>
      </c>
      <c r="K250">
        <v>4.4359000000000002</v>
      </c>
      <c r="L250">
        <v>2.8380000000000001</v>
      </c>
      <c r="M250">
        <v>0.75900000000000001</v>
      </c>
      <c r="N250">
        <v>17.52</v>
      </c>
      <c r="O250">
        <v>187.898</v>
      </c>
      <c r="P250">
        <v>106.17400000000001</v>
      </c>
      <c r="Q250">
        <v>127.98090000000001</v>
      </c>
      <c r="R250">
        <v>5.0340999999999996</v>
      </c>
      <c r="S250">
        <v>90.79</v>
      </c>
      <c r="T250">
        <v>95.31</v>
      </c>
      <c r="U250">
        <v>538.87</v>
      </c>
      <c r="V250">
        <v>990.02</v>
      </c>
      <c r="W250">
        <v>2853.24</v>
      </c>
      <c r="X250">
        <v>952.78</v>
      </c>
      <c r="Y250">
        <v>116565.17</v>
      </c>
      <c r="Z250">
        <v>13.171900000000001</v>
      </c>
      <c r="AA250">
        <v>11.2677</v>
      </c>
      <c r="AB250">
        <v>11.734999999999999</v>
      </c>
      <c r="AC250">
        <v>10.762</v>
      </c>
      <c r="AD250">
        <v>10.612</v>
      </c>
      <c r="AE250">
        <v>11.03</v>
      </c>
      <c r="AF250">
        <v>12.65</v>
      </c>
      <c r="AG250">
        <v>1.0572999999999999</v>
      </c>
      <c r="AH250">
        <v>149.37</v>
      </c>
      <c r="AI250">
        <v>1.2199</v>
      </c>
      <c r="AJ250">
        <v>1.3576999999999999</v>
      </c>
      <c r="AK250">
        <v>10.911799999999999</v>
      </c>
      <c r="AL250">
        <v>0.9153</v>
      </c>
      <c r="AM250">
        <v>186.63</v>
      </c>
      <c r="AN250">
        <v>106.28</v>
      </c>
      <c r="AO250">
        <v>99.62</v>
      </c>
      <c r="AP250">
        <v>102.49</v>
      </c>
      <c r="AQ250">
        <v>101.76</v>
      </c>
    </row>
    <row r="251" spans="1:43" x14ac:dyDescent="0.25">
      <c r="A251" s="7">
        <v>45230</v>
      </c>
      <c r="B251">
        <v>5.4622999999999999</v>
      </c>
      <c r="C251">
        <v>5.2789999999999999</v>
      </c>
      <c r="D251">
        <v>3.698</v>
      </c>
      <c r="E251">
        <v>-0.15</v>
      </c>
      <c r="F251">
        <v>5.0872999999999999</v>
      </c>
      <c r="G251">
        <v>4.7657999999999996</v>
      </c>
      <c r="H251">
        <v>3.0110000000000001</v>
      </c>
      <c r="I251">
        <v>0.14099999999999999</v>
      </c>
      <c r="J251">
        <v>4.9306999999999999</v>
      </c>
      <c r="K251">
        <v>4.5094000000000003</v>
      </c>
      <c r="L251">
        <v>2.8039999999999998</v>
      </c>
      <c r="M251">
        <v>0.94099999999999995</v>
      </c>
      <c r="N251">
        <v>18.14</v>
      </c>
      <c r="O251">
        <v>183.13399999999999</v>
      </c>
      <c r="P251">
        <v>106.663</v>
      </c>
      <c r="Q251">
        <v>130.4229</v>
      </c>
      <c r="R251">
        <v>5.0381</v>
      </c>
      <c r="S251">
        <v>81.02</v>
      </c>
      <c r="T251">
        <v>87.41</v>
      </c>
      <c r="U251">
        <v>539.59</v>
      </c>
      <c r="V251">
        <v>972.3</v>
      </c>
      <c r="W251">
        <v>2768.62</v>
      </c>
      <c r="X251">
        <v>915.2</v>
      </c>
      <c r="Y251">
        <v>113143.67</v>
      </c>
      <c r="Z251">
        <v>13.171900000000001</v>
      </c>
      <c r="AA251">
        <v>11.576499999999999</v>
      </c>
      <c r="AB251">
        <v>11.8475</v>
      </c>
      <c r="AC251">
        <v>11.222099999999999</v>
      </c>
      <c r="AD251">
        <v>11.0563</v>
      </c>
      <c r="AE251">
        <v>11.1464</v>
      </c>
      <c r="AF251">
        <v>12.65</v>
      </c>
      <c r="AG251">
        <v>1.0575000000000001</v>
      </c>
      <c r="AH251">
        <v>151.68</v>
      </c>
      <c r="AI251">
        <v>1.2153</v>
      </c>
      <c r="AJ251">
        <v>1.3875</v>
      </c>
      <c r="AK251">
        <v>11.1783</v>
      </c>
      <c r="AL251">
        <v>0.91039999999999999</v>
      </c>
      <c r="AM251">
        <v>186.63</v>
      </c>
      <c r="AN251">
        <v>107.01</v>
      </c>
      <c r="AO251">
        <v>100.08</v>
      </c>
      <c r="AP251">
        <v>102.8</v>
      </c>
      <c r="AQ251">
        <v>101.96</v>
      </c>
    </row>
    <row r="252" spans="1:43" x14ac:dyDescent="0.25">
      <c r="A252" s="7">
        <v>45260</v>
      </c>
      <c r="B252">
        <v>5.3875999999999999</v>
      </c>
      <c r="C252">
        <v>5.27</v>
      </c>
      <c r="D252">
        <v>3.6560000000000001</v>
      </c>
      <c r="E252">
        <v>-0.14799999999999999</v>
      </c>
      <c r="F252">
        <v>4.6802000000000001</v>
      </c>
      <c r="G252">
        <v>4.5894000000000004</v>
      </c>
      <c r="H252">
        <v>2.8119999999999998</v>
      </c>
      <c r="I252">
        <v>2.5000000000000001E-2</v>
      </c>
      <c r="J252">
        <v>4.3263999999999996</v>
      </c>
      <c r="K252">
        <v>4.1723999999999997</v>
      </c>
      <c r="L252">
        <v>2.4449999999999998</v>
      </c>
      <c r="M252">
        <v>0.66600000000000004</v>
      </c>
      <c r="N252">
        <v>12.92</v>
      </c>
      <c r="O252">
        <v>146.61699999999999</v>
      </c>
      <c r="P252">
        <v>103.497</v>
      </c>
      <c r="Q252">
        <v>127.44889999999999</v>
      </c>
      <c r="R252">
        <v>4.9195000000000002</v>
      </c>
      <c r="S252">
        <v>75.959999999999994</v>
      </c>
      <c r="T252">
        <v>82.83</v>
      </c>
      <c r="U252">
        <v>517.75</v>
      </c>
      <c r="V252">
        <v>979.84</v>
      </c>
      <c r="W252">
        <v>3023.63</v>
      </c>
      <c r="X252">
        <v>987.1</v>
      </c>
      <c r="Y252">
        <v>127331.12</v>
      </c>
      <c r="Z252">
        <v>13.171900000000001</v>
      </c>
      <c r="AA252">
        <v>10.484299999999999</v>
      </c>
      <c r="AB252">
        <v>10.849500000000001</v>
      </c>
      <c r="AC252">
        <v>10.0587</v>
      </c>
      <c r="AD252">
        <v>9.9867000000000008</v>
      </c>
      <c r="AE252">
        <v>10.396000000000001</v>
      </c>
      <c r="AF252">
        <v>12.15</v>
      </c>
      <c r="AG252">
        <v>1.0888</v>
      </c>
      <c r="AH252">
        <v>148.19999999999999</v>
      </c>
      <c r="AI252">
        <v>1.2624</v>
      </c>
      <c r="AJ252">
        <v>1.3561000000000001</v>
      </c>
      <c r="AK252">
        <v>10.499700000000001</v>
      </c>
      <c r="AL252">
        <v>0.87519999999999998</v>
      </c>
      <c r="AM252">
        <v>186.63</v>
      </c>
      <c r="AN252">
        <v>102.82</v>
      </c>
      <c r="AO252">
        <v>101.27</v>
      </c>
      <c r="AP252">
        <v>103.63</v>
      </c>
      <c r="AQ252">
        <v>101.67</v>
      </c>
    </row>
    <row r="253" spans="1:43" x14ac:dyDescent="0.25">
      <c r="A253" s="7">
        <v>45289</v>
      </c>
      <c r="B253">
        <v>5.3323</v>
      </c>
      <c r="C253">
        <v>5.2439999999999998</v>
      </c>
      <c r="D253">
        <v>3.548</v>
      </c>
      <c r="E253">
        <v>-5.8999999999999997E-2</v>
      </c>
      <c r="F253">
        <v>4.2499000000000002</v>
      </c>
      <c r="G253">
        <v>3.9546999999999999</v>
      </c>
      <c r="H253">
        <v>2.3919999999999999</v>
      </c>
      <c r="I253">
        <v>4.3999999999999997E-2</v>
      </c>
      <c r="J253">
        <v>3.8791000000000002</v>
      </c>
      <c r="K253">
        <v>3.5297999999999998</v>
      </c>
      <c r="L253">
        <v>2.0209999999999999</v>
      </c>
      <c r="M253">
        <v>0.60799999999999998</v>
      </c>
      <c r="N253">
        <v>12.45</v>
      </c>
      <c r="O253">
        <v>132.53100000000001</v>
      </c>
      <c r="P253">
        <v>101.333</v>
      </c>
      <c r="Q253">
        <v>126.84480000000001</v>
      </c>
      <c r="R253">
        <v>4.8571999999999997</v>
      </c>
      <c r="S253">
        <v>71.650000000000006</v>
      </c>
      <c r="T253">
        <v>77.040000000000006</v>
      </c>
      <c r="U253">
        <v>465.48</v>
      </c>
      <c r="V253">
        <v>1032.23</v>
      </c>
      <c r="W253">
        <v>3169.18</v>
      </c>
      <c r="X253">
        <v>1023.74</v>
      </c>
      <c r="Y253">
        <v>134185.24</v>
      </c>
      <c r="Z253">
        <v>13.171900000000001</v>
      </c>
      <c r="AA253">
        <v>10.0747</v>
      </c>
      <c r="AB253">
        <v>10.366</v>
      </c>
      <c r="AC253">
        <v>9.7050000000000001</v>
      </c>
      <c r="AD253">
        <v>9.5914999999999999</v>
      </c>
      <c r="AE253">
        <v>10.039400000000001</v>
      </c>
      <c r="AF253">
        <v>11.65</v>
      </c>
      <c r="AG253">
        <v>1.1039000000000001</v>
      </c>
      <c r="AH253">
        <v>141.04</v>
      </c>
      <c r="AI253">
        <v>1.2730999999999999</v>
      </c>
      <c r="AJ253">
        <v>1.3243</v>
      </c>
      <c r="AK253">
        <v>10.073399999999999</v>
      </c>
      <c r="AL253">
        <v>0.84140000000000004</v>
      </c>
      <c r="AM253">
        <v>186.63</v>
      </c>
      <c r="AN253">
        <v>92.73</v>
      </c>
      <c r="AO253">
        <v>103.12</v>
      </c>
      <c r="AP253">
        <v>104.67</v>
      </c>
      <c r="AQ253">
        <v>101.71</v>
      </c>
    </row>
    <row r="254" spans="1:43" x14ac:dyDescent="0.25">
      <c r="A254" s="7">
        <v>45322</v>
      </c>
      <c r="B254">
        <v>5.3597000000000001</v>
      </c>
      <c r="C254">
        <v>5.2210000000000001</v>
      </c>
      <c r="D254">
        <v>3.6890000000000001</v>
      </c>
      <c r="E254">
        <v>-0.16800000000000001</v>
      </c>
      <c r="F254">
        <v>4.2066999999999997</v>
      </c>
      <c r="G254">
        <v>4.2392000000000003</v>
      </c>
      <c r="H254">
        <v>2.415</v>
      </c>
      <c r="I254">
        <v>7.5999999999999998E-2</v>
      </c>
      <c r="J254">
        <v>3.9123999999999999</v>
      </c>
      <c r="K254">
        <v>3.7917999999999998</v>
      </c>
      <c r="L254">
        <v>2.165</v>
      </c>
      <c r="M254">
        <v>0.72599999999999998</v>
      </c>
      <c r="N254">
        <v>14.35</v>
      </c>
      <c r="O254">
        <v>138.804</v>
      </c>
      <c r="P254">
        <v>103.274</v>
      </c>
      <c r="Q254">
        <v>127.46720000000001</v>
      </c>
      <c r="R254">
        <v>4.9554</v>
      </c>
      <c r="S254">
        <v>75.849999999999994</v>
      </c>
      <c r="T254">
        <v>81.709999999999994</v>
      </c>
      <c r="U254">
        <v>491.43</v>
      </c>
      <c r="V254">
        <v>1031.04</v>
      </c>
      <c r="W254">
        <v>3205.32</v>
      </c>
      <c r="X254">
        <v>975.8</v>
      </c>
      <c r="Y254">
        <v>127752.28</v>
      </c>
      <c r="Z254">
        <v>13.171900000000001</v>
      </c>
      <c r="AA254">
        <v>10.246700000000001</v>
      </c>
      <c r="AB254">
        <v>10.5959</v>
      </c>
      <c r="AC254">
        <v>9.8117000000000001</v>
      </c>
      <c r="AD254">
        <v>9.6519999999999992</v>
      </c>
      <c r="AE254">
        <v>9.9022000000000006</v>
      </c>
      <c r="AF254">
        <v>11.65</v>
      </c>
      <c r="AG254">
        <v>1.0818000000000001</v>
      </c>
      <c r="AH254">
        <v>146.91999999999999</v>
      </c>
      <c r="AI254">
        <v>1.2687999999999999</v>
      </c>
      <c r="AJ254">
        <v>1.3434999999999999</v>
      </c>
      <c r="AK254">
        <v>10.391299999999999</v>
      </c>
      <c r="AL254">
        <v>0.86140000000000005</v>
      </c>
      <c r="AM254">
        <v>186.63</v>
      </c>
      <c r="AN254">
        <v>93.75</v>
      </c>
      <c r="AO254">
        <v>101.73</v>
      </c>
      <c r="AP254">
        <v>104.42</v>
      </c>
      <c r="AQ254">
        <v>99.3</v>
      </c>
    </row>
    <row r="255" spans="1:43" x14ac:dyDescent="0.25">
      <c r="A255" s="7">
        <v>45351</v>
      </c>
      <c r="B255">
        <v>5.3798000000000004</v>
      </c>
      <c r="C255">
        <v>5.242</v>
      </c>
      <c r="D255">
        <v>3.74</v>
      </c>
      <c r="E255">
        <v>-0.106</v>
      </c>
      <c r="F255">
        <v>4.6186999999999996</v>
      </c>
      <c r="G255">
        <v>4.2838000000000003</v>
      </c>
      <c r="H255">
        <v>2.8980000000000001</v>
      </c>
      <c r="I255">
        <v>0.17299999999999999</v>
      </c>
      <c r="J255">
        <v>4.2502000000000004</v>
      </c>
      <c r="K255">
        <v>4.1211000000000002</v>
      </c>
      <c r="L255">
        <v>2.41</v>
      </c>
      <c r="M255">
        <v>0.70299999999999996</v>
      </c>
      <c r="N255">
        <v>13.4</v>
      </c>
      <c r="O255">
        <v>125.968</v>
      </c>
      <c r="P255">
        <v>104.15600000000001</v>
      </c>
      <c r="Q255">
        <v>127.92100000000001</v>
      </c>
      <c r="R255">
        <v>4.9707999999999997</v>
      </c>
      <c r="S255">
        <v>78.260000000000005</v>
      </c>
      <c r="T255">
        <v>83.62</v>
      </c>
      <c r="U255">
        <v>491.95</v>
      </c>
      <c r="V255">
        <v>1007.78</v>
      </c>
      <c r="W255">
        <v>3337.2</v>
      </c>
      <c r="X255">
        <v>1020.94</v>
      </c>
      <c r="Y255">
        <v>129020.02</v>
      </c>
      <c r="Z255">
        <v>13.171900000000001</v>
      </c>
      <c r="AA255">
        <v>10.446</v>
      </c>
      <c r="AB255">
        <v>10.793200000000001</v>
      </c>
      <c r="AC255">
        <v>10.0274</v>
      </c>
      <c r="AD255">
        <v>9.8209999999999997</v>
      </c>
      <c r="AE255">
        <v>9.8879000000000001</v>
      </c>
      <c r="AF255">
        <v>11.15</v>
      </c>
      <c r="AG255">
        <v>1.0805</v>
      </c>
      <c r="AH255">
        <v>149.97999999999999</v>
      </c>
      <c r="AI255">
        <v>1.2625</v>
      </c>
      <c r="AJ255">
        <v>1.3579000000000001</v>
      </c>
      <c r="AK255">
        <v>10.3736</v>
      </c>
      <c r="AL255">
        <v>0.88449999999999995</v>
      </c>
      <c r="AM255">
        <v>186.63</v>
      </c>
      <c r="AN255">
        <v>92.36</v>
      </c>
      <c r="AO255">
        <v>101.67</v>
      </c>
      <c r="AP255">
        <v>104.77</v>
      </c>
      <c r="AQ255">
        <v>102.16</v>
      </c>
    </row>
    <row r="256" spans="1:43" x14ac:dyDescent="0.25">
      <c r="A256" s="7">
        <v>45380</v>
      </c>
      <c r="B256">
        <v>5.3617999999999997</v>
      </c>
      <c r="C256">
        <v>5.25</v>
      </c>
      <c r="D256">
        <v>3.6589999999999998</v>
      </c>
      <c r="E256">
        <v>-5.0999999999999997E-2</v>
      </c>
      <c r="F256">
        <v>4.62</v>
      </c>
      <c r="G256">
        <v>4.1632999999999996</v>
      </c>
      <c r="H256">
        <v>2.8460000000000001</v>
      </c>
      <c r="I256">
        <v>0.18</v>
      </c>
      <c r="J256">
        <v>4.2003000000000004</v>
      </c>
      <c r="K256">
        <v>3.9317000000000002</v>
      </c>
      <c r="L256">
        <v>2.2970000000000002</v>
      </c>
      <c r="M256">
        <v>0.72199999999999998</v>
      </c>
      <c r="N256">
        <v>13.01</v>
      </c>
      <c r="O256">
        <v>137.93199999999999</v>
      </c>
      <c r="P256">
        <v>104.48699999999999</v>
      </c>
      <c r="Q256">
        <v>127.3586</v>
      </c>
      <c r="R256">
        <v>5.0141</v>
      </c>
      <c r="S256">
        <v>83.17</v>
      </c>
      <c r="T256">
        <v>87.48</v>
      </c>
      <c r="U256">
        <v>524.70000000000005</v>
      </c>
      <c r="V256">
        <v>1002.28</v>
      </c>
      <c r="W256">
        <v>3437.76</v>
      </c>
      <c r="X256">
        <v>1043.2</v>
      </c>
      <c r="Y256">
        <v>128106.1</v>
      </c>
      <c r="Z256">
        <v>13.171900000000001</v>
      </c>
      <c r="AA256">
        <v>10.7028</v>
      </c>
      <c r="AB256">
        <v>11.024900000000001</v>
      </c>
      <c r="AC256">
        <v>10.226599999999999</v>
      </c>
      <c r="AD256">
        <v>9.9629999999999992</v>
      </c>
      <c r="AE256">
        <v>9.8420000000000005</v>
      </c>
      <c r="AF256">
        <v>10.65</v>
      </c>
      <c r="AG256">
        <v>1.079</v>
      </c>
      <c r="AH256">
        <v>151.35</v>
      </c>
      <c r="AI256">
        <v>1.2623</v>
      </c>
      <c r="AJ256">
        <v>1.3540000000000001</v>
      </c>
      <c r="AK256">
        <v>10.6584</v>
      </c>
      <c r="AL256">
        <v>0.90139999999999998</v>
      </c>
      <c r="AM256">
        <v>186.63</v>
      </c>
      <c r="AN256">
        <v>96.5</v>
      </c>
      <c r="AO256">
        <v>102.04</v>
      </c>
      <c r="AP256">
        <v>104.42</v>
      </c>
      <c r="AQ256">
        <v>109.68</v>
      </c>
    </row>
    <row r="257" spans="1:43" x14ac:dyDescent="0.25">
      <c r="A257" s="7">
        <v>45412</v>
      </c>
      <c r="B257">
        <v>5.3917999999999999</v>
      </c>
      <c r="C257">
        <v>5.218</v>
      </c>
      <c r="D257">
        <v>3.6219999999999999</v>
      </c>
      <c r="E257">
        <v>3.5999999999999997E-2</v>
      </c>
      <c r="F257">
        <v>5.0350999999999999</v>
      </c>
      <c r="G257">
        <v>4.4943999999999997</v>
      </c>
      <c r="H257">
        <v>3.03</v>
      </c>
      <c r="I257">
        <v>0.27800000000000002</v>
      </c>
      <c r="J257">
        <v>4.6798000000000002</v>
      </c>
      <c r="K257">
        <v>4.3460000000000001</v>
      </c>
      <c r="L257">
        <v>2.5830000000000002</v>
      </c>
      <c r="M257">
        <v>0.874</v>
      </c>
      <c r="N257">
        <v>15.65</v>
      </c>
      <c r="O257">
        <v>150.50899999999999</v>
      </c>
      <c r="P257">
        <v>106.221</v>
      </c>
      <c r="Q257">
        <v>128.5728</v>
      </c>
      <c r="R257">
        <v>5.1933999999999996</v>
      </c>
      <c r="S257">
        <v>81.93</v>
      </c>
      <c r="T257">
        <v>87.86</v>
      </c>
      <c r="U257">
        <v>533.12</v>
      </c>
      <c r="V257">
        <v>1093.69</v>
      </c>
      <c r="W257">
        <v>3305.3</v>
      </c>
      <c r="X257">
        <v>1045.95</v>
      </c>
      <c r="Y257">
        <v>125924.19</v>
      </c>
      <c r="Z257">
        <v>13.171900000000001</v>
      </c>
      <c r="AA257">
        <v>11.575799999999999</v>
      </c>
      <c r="AB257">
        <v>11.854799999999999</v>
      </c>
      <c r="AC257">
        <v>11.103400000000001</v>
      </c>
      <c r="AD257">
        <v>10.7692</v>
      </c>
      <c r="AE257">
        <v>10.3939</v>
      </c>
      <c r="AF257">
        <v>10.65</v>
      </c>
      <c r="AG257">
        <v>1.0666</v>
      </c>
      <c r="AH257">
        <v>157.80000000000001</v>
      </c>
      <c r="AI257">
        <v>1.2492000000000001</v>
      </c>
      <c r="AJ257">
        <v>1.3777999999999999</v>
      </c>
      <c r="AK257">
        <v>11.024800000000001</v>
      </c>
      <c r="AL257">
        <v>0.9194</v>
      </c>
      <c r="AM257">
        <v>186.63</v>
      </c>
      <c r="AN257">
        <v>99.72</v>
      </c>
      <c r="AO257">
        <v>101.83</v>
      </c>
      <c r="AP257">
        <v>105.27</v>
      </c>
      <c r="AQ257">
        <v>109.23</v>
      </c>
    </row>
    <row r="258" spans="1:43" x14ac:dyDescent="0.25">
      <c r="A258" s="7">
        <v>45443</v>
      </c>
      <c r="B258">
        <v>5.4009</v>
      </c>
      <c r="C258">
        <v>5.2619999999999996</v>
      </c>
      <c r="D258">
        <v>3.5449999999999999</v>
      </c>
      <c r="E258">
        <v>7.4999999999999997E-2</v>
      </c>
      <c r="F258">
        <v>4.8727</v>
      </c>
      <c r="G258">
        <v>4.383</v>
      </c>
      <c r="H258">
        <v>3.093</v>
      </c>
      <c r="I258">
        <v>0.39900000000000002</v>
      </c>
      <c r="J258">
        <v>4.4984999999999999</v>
      </c>
      <c r="K258">
        <v>4.3174999999999999</v>
      </c>
      <c r="L258">
        <v>2.6629999999999998</v>
      </c>
      <c r="M258">
        <v>1.0640000000000001</v>
      </c>
      <c r="N258">
        <v>12.92</v>
      </c>
      <c r="O258">
        <v>142.959</v>
      </c>
      <c r="P258">
        <v>104.67100000000001</v>
      </c>
      <c r="Q258">
        <v>128.46729999999999</v>
      </c>
      <c r="R258">
        <v>5.2461000000000002</v>
      </c>
      <c r="S258">
        <v>76.989999999999995</v>
      </c>
      <c r="T258">
        <v>81.62</v>
      </c>
      <c r="U258">
        <v>529.55999999999995</v>
      </c>
      <c r="V258">
        <v>1104.32</v>
      </c>
      <c r="W258">
        <v>3445.17</v>
      </c>
      <c r="X258">
        <v>1048.96</v>
      </c>
      <c r="Y258">
        <v>122098.09</v>
      </c>
      <c r="Z258">
        <v>13.171900000000001</v>
      </c>
      <c r="AA258">
        <v>11.683199999999999</v>
      </c>
      <c r="AB258">
        <v>11.8926</v>
      </c>
      <c r="AC258">
        <v>11.283899999999999</v>
      </c>
      <c r="AD258">
        <v>10.962899999999999</v>
      </c>
      <c r="AE258">
        <v>10.5632</v>
      </c>
      <c r="AF258">
        <v>10.4</v>
      </c>
      <c r="AG258">
        <v>1.0848</v>
      </c>
      <c r="AH258">
        <v>157.31</v>
      </c>
      <c r="AI258">
        <v>1.2742</v>
      </c>
      <c r="AJ258">
        <v>1.3628</v>
      </c>
      <c r="AK258">
        <v>10.5305</v>
      </c>
      <c r="AL258">
        <v>0.90229999999999999</v>
      </c>
      <c r="AM258">
        <v>186.63</v>
      </c>
      <c r="AN258">
        <v>103.51</v>
      </c>
      <c r="AO258">
        <v>100.65</v>
      </c>
      <c r="AP258">
        <v>105.66</v>
      </c>
      <c r="AQ258">
        <v>104.71</v>
      </c>
    </row>
    <row r="259" spans="1:43" x14ac:dyDescent="0.25">
      <c r="A259" s="7">
        <v>45471</v>
      </c>
      <c r="B259">
        <v>5.3548999999999998</v>
      </c>
      <c r="C259">
        <v>5.2350000000000003</v>
      </c>
      <c r="D259">
        <v>3.323</v>
      </c>
      <c r="E259">
        <v>2.7E-2</v>
      </c>
      <c r="F259">
        <v>4.7534999999999998</v>
      </c>
      <c r="G259">
        <v>4.1965000000000003</v>
      </c>
      <c r="H259">
        <v>2.8279999999999998</v>
      </c>
      <c r="I259">
        <v>0.35799999999999998</v>
      </c>
      <c r="J259">
        <v>4.3960999999999997</v>
      </c>
      <c r="K259">
        <v>4.1717000000000004</v>
      </c>
      <c r="L259">
        <v>2.4969999999999999</v>
      </c>
      <c r="M259">
        <v>1.0489999999999999</v>
      </c>
      <c r="N259">
        <v>12.44</v>
      </c>
      <c r="O259">
        <v>170.41399999999999</v>
      </c>
      <c r="P259">
        <v>105.866</v>
      </c>
      <c r="Q259">
        <v>132.10079999999999</v>
      </c>
      <c r="R259">
        <v>5.5940000000000003</v>
      </c>
      <c r="S259">
        <v>81.540000000000006</v>
      </c>
      <c r="T259">
        <v>86.41</v>
      </c>
      <c r="U259">
        <v>514.95000000000005</v>
      </c>
      <c r="V259">
        <v>1079.9000000000001</v>
      </c>
      <c r="W259">
        <v>3511.78</v>
      </c>
      <c r="X259">
        <v>1086.25</v>
      </c>
      <c r="Y259">
        <v>123906.55</v>
      </c>
      <c r="Z259">
        <v>13.171900000000001</v>
      </c>
      <c r="AA259">
        <v>12.387600000000001</v>
      </c>
      <c r="AB259">
        <v>12.406499999999999</v>
      </c>
      <c r="AC259">
        <v>12.107200000000001</v>
      </c>
      <c r="AD259">
        <v>11.82</v>
      </c>
      <c r="AE259">
        <v>11.234999999999999</v>
      </c>
      <c r="AF259">
        <v>10.4</v>
      </c>
      <c r="AG259">
        <v>1.0712999999999999</v>
      </c>
      <c r="AH259">
        <v>160.88</v>
      </c>
      <c r="AI259">
        <v>1.2645</v>
      </c>
      <c r="AJ259">
        <v>1.3678999999999999</v>
      </c>
      <c r="AK259">
        <v>10.5974</v>
      </c>
      <c r="AL259">
        <v>0.89880000000000004</v>
      </c>
      <c r="AM259">
        <v>186.63</v>
      </c>
      <c r="AN259">
        <v>105.19</v>
      </c>
      <c r="AO259">
        <v>105.11</v>
      </c>
      <c r="AP259">
        <v>106.5</v>
      </c>
      <c r="AQ259">
        <v>105.76</v>
      </c>
    </row>
    <row r="260" spans="1:43" x14ac:dyDescent="0.25">
      <c r="A260" s="7">
        <v>45504</v>
      </c>
      <c r="B260">
        <v>5.2839999999999998</v>
      </c>
      <c r="C260">
        <v>5.1150000000000002</v>
      </c>
      <c r="D260">
        <v>3.3149999999999999</v>
      </c>
      <c r="E260">
        <v>0.11799999999999999</v>
      </c>
      <c r="F260">
        <v>4.2575000000000003</v>
      </c>
      <c r="G260">
        <v>3.8060999999999998</v>
      </c>
      <c r="H260">
        <v>2.5249999999999999</v>
      </c>
      <c r="I260">
        <v>0.44900000000000001</v>
      </c>
      <c r="J260">
        <v>4.0296000000000003</v>
      </c>
      <c r="K260">
        <v>3.9691000000000001</v>
      </c>
      <c r="L260">
        <v>2.302</v>
      </c>
      <c r="M260">
        <v>1.05</v>
      </c>
      <c r="N260">
        <v>16.36</v>
      </c>
      <c r="O260">
        <v>158.25700000000001</v>
      </c>
      <c r="P260">
        <v>104.096</v>
      </c>
      <c r="Q260">
        <v>132.02010000000001</v>
      </c>
      <c r="R260">
        <v>5.6505000000000001</v>
      </c>
      <c r="S260">
        <v>77.91</v>
      </c>
      <c r="T260">
        <v>80.72</v>
      </c>
      <c r="U260">
        <v>521.20000000000005</v>
      </c>
      <c r="V260">
        <v>1030.93</v>
      </c>
      <c r="W260">
        <v>3571.58</v>
      </c>
      <c r="X260">
        <v>1084.77</v>
      </c>
      <c r="Y260">
        <v>127651.81</v>
      </c>
      <c r="Z260">
        <v>13.171900000000001</v>
      </c>
      <c r="AA260">
        <v>11.998200000000001</v>
      </c>
      <c r="AB260">
        <v>11.9229</v>
      </c>
      <c r="AC260">
        <v>11.910399999999999</v>
      </c>
      <c r="AD260">
        <v>11.790900000000001</v>
      </c>
      <c r="AE260">
        <v>11.391999999999999</v>
      </c>
      <c r="AF260">
        <v>10.4</v>
      </c>
      <c r="AG260">
        <v>1.0826</v>
      </c>
      <c r="AH260">
        <v>149.97999999999999</v>
      </c>
      <c r="AI260">
        <v>1.2856000000000001</v>
      </c>
      <c r="AJ260">
        <v>1.3808</v>
      </c>
      <c r="AK260">
        <v>10.696199999999999</v>
      </c>
      <c r="AL260">
        <v>0.878</v>
      </c>
      <c r="AM260">
        <v>186.63</v>
      </c>
      <c r="AN260">
        <v>111.98</v>
      </c>
      <c r="AO260">
        <v>103.51</v>
      </c>
      <c r="AP260">
        <v>106.93</v>
      </c>
      <c r="AQ260">
        <v>111.57</v>
      </c>
    </row>
    <row r="261" spans="1:43" x14ac:dyDescent="0.25">
      <c r="A261" s="7">
        <v>45534</v>
      </c>
      <c r="B261">
        <v>5.1116999999999999</v>
      </c>
      <c r="C261">
        <v>4.9820000000000002</v>
      </c>
      <c r="D261">
        <v>3.1890000000000001</v>
      </c>
      <c r="E261">
        <v>0.114</v>
      </c>
      <c r="F261">
        <v>3.9165000000000001</v>
      </c>
      <c r="G261">
        <v>4.1040999999999999</v>
      </c>
      <c r="H261">
        <v>2.3879999999999999</v>
      </c>
      <c r="I261">
        <v>0.36199999999999999</v>
      </c>
      <c r="J261">
        <v>3.9034</v>
      </c>
      <c r="K261">
        <v>4.0141999999999998</v>
      </c>
      <c r="L261">
        <v>2.298</v>
      </c>
      <c r="M261">
        <v>0.88900000000000001</v>
      </c>
      <c r="N261">
        <v>15</v>
      </c>
      <c r="O261">
        <v>150.19300000000001</v>
      </c>
      <c r="P261">
        <v>101.69799999999999</v>
      </c>
      <c r="Q261">
        <v>132.80799999999999</v>
      </c>
      <c r="R261">
        <v>5.6067999999999998</v>
      </c>
      <c r="S261">
        <v>73.55</v>
      </c>
      <c r="T261">
        <v>78.8</v>
      </c>
      <c r="U261">
        <v>519.08000000000004</v>
      </c>
      <c r="V261">
        <v>1057.9100000000001</v>
      </c>
      <c r="W261">
        <v>3661.24</v>
      </c>
      <c r="X261">
        <v>1099.92</v>
      </c>
      <c r="Y261">
        <v>136004.01</v>
      </c>
      <c r="Z261">
        <v>13.171900000000001</v>
      </c>
      <c r="AA261">
        <v>12.101100000000001</v>
      </c>
      <c r="AB261">
        <v>12.034800000000001</v>
      </c>
      <c r="AC261">
        <v>12.008699999999999</v>
      </c>
      <c r="AD261">
        <v>11.924300000000001</v>
      </c>
      <c r="AE261">
        <v>11.7517</v>
      </c>
      <c r="AF261">
        <v>10.4</v>
      </c>
      <c r="AG261">
        <v>1.1048</v>
      </c>
      <c r="AH261">
        <v>146.16999999999999</v>
      </c>
      <c r="AI261">
        <v>1.3127</v>
      </c>
      <c r="AJ261">
        <v>1.3492</v>
      </c>
      <c r="AK261">
        <v>10.274800000000001</v>
      </c>
      <c r="AL261">
        <v>0.84960000000000002</v>
      </c>
      <c r="AM261">
        <v>186.63</v>
      </c>
      <c r="AN261">
        <v>113.83</v>
      </c>
      <c r="AO261">
        <v>103.26</v>
      </c>
      <c r="AP261">
        <v>107.12</v>
      </c>
      <c r="AQ261">
        <v>110.09</v>
      </c>
    </row>
    <row r="262" spans="1:43" x14ac:dyDescent="0.25">
      <c r="A262" s="7">
        <v>45565</v>
      </c>
      <c r="B262">
        <v>4.6169000000000002</v>
      </c>
      <c r="C262">
        <v>4.9009999999999998</v>
      </c>
      <c r="D262">
        <v>3.0059999999999998</v>
      </c>
      <c r="E262">
        <v>0.04</v>
      </c>
      <c r="F262">
        <v>3.6410999999999998</v>
      </c>
      <c r="G262">
        <v>3.9782999999999999</v>
      </c>
      <c r="H262">
        <v>2.0640000000000001</v>
      </c>
      <c r="I262">
        <v>0.38300000000000001</v>
      </c>
      <c r="J262">
        <v>3.7808999999999999</v>
      </c>
      <c r="K262">
        <v>4.0022000000000002</v>
      </c>
      <c r="L262">
        <v>2.1219999999999999</v>
      </c>
      <c r="M262">
        <v>0.85299999999999998</v>
      </c>
      <c r="N262">
        <v>16.73</v>
      </c>
      <c r="O262">
        <v>152.53899999999999</v>
      </c>
      <c r="P262">
        <v>100.779</v>
      </c>
      <c r="Q262">
        <v>132.72049999999999</v>
      </c>
      <c r="R262">
        <v>5.4496000000000002</v>
      </c>
      <c r="S262">
        <v>68.17</v>
      </c>
      <c r="T262">
        <v>71.77</v>
      </c>
      <c r="U262">
        <v>513.58000000000004</v>
      </c>
      <c r="V262">
        <v>1095.6500000000001</v>
      </c>
      <c r="W262">
        <v>3723.03</v>
      </c>
      <c r="X262">
        <v>1170.8499999999999</v>
      </c>
      <c r="Y262">
        <v>131816.44</v>
      </c>
      <c r="Z262">
        <v>13.171900000000001</v>
      </c>
      <c r="AA262">
        <v>12.4642</v>
      </c>
      <c r="AB262">
        <v>12.306900000000001</v>
      </c>
      <c r="AC262">
        <v>12.412000000000001</v>
      </c>
      <c r="AD262">
        <v>12.417199999999999</v>
      </c>
      <c r="AE262">
        <v>12.18</v>
      </c>
      <c r="AF262">
        <v>10.65</v>
      </c>
      <c r="AG262">
        <v>1.1134999999999999</v>
      </c>
      <c r="AH262">
        <v>143.63</v>
      </c>
      <c r="AI262">
        <v>1.3374999999999999</v>
      </c>
      <c r="AJ262">
        <v>1.3525</v>
      </c>
      <c r="AK262">
        <v>10.160399999999999</v>
      </c>
      <c r="AL262">
        <v>0.84560000000000002</v>
      </c>
      <c r="AM262">
        <v>186.63</v>
      </c>
      <c r="AN262">
        <v>109.75</v>
      </c>
      <c r="AO262">
        <v>104.3</v>
      </c>
      <c r="AP262">
        <v>108.03</v>
      </c>
      <c r="AQ262">
        <v>107.1</v>
      </c>
    </row>
    <row r="263" spans="1:43" x14ac:dyDescent="0.25">
      <c r="A263" s="7">
        <v>45596</v>
      </c>
      <c r="B263">
        <v>4.5418000000000003</v>
      </c>
      <c r="C263">
        <v>4.79</v>
      </c>
      <c r="D263">
        <v>2.7480000000000002</v>
      </c>
      <c r="E263">
        <v>3.1E-2</v>
      </c>
      <c r="F263">
        <v>4.1702000000000004</v>
      </c>
      <c r="G263">
        <v>4.4265999999999996</v>
      </c>
      <c r="H263">
        <v>2.2759999999999998</v>
      </c>
      <c r="I263">
        <v>0.443</v>
      </c>
      <c r="J263">
        <v>4.2843999999999998</v>
      </c>
      <c r="K263">
        <v>4.4438000000000004</v>
      </c>
      <c r="L263">
        <v>2.3879999999999999</v>
      </c>
      <c r="M263">
        <v>0.94199999999999995</v>
      </c>
      <c r="N263">
        <v>23.16</v>
      </c>
      <c r="O263">
        <v>158.29599999999999</v>
      </c>
      <c r="P263">
        <v>103.976</v>
      </c>
      <c r="Q263">
        <v>133.77090000000001</v>
      </c>
      <c r="R263">
        <v>5.7877000000000001</v>
      </c>
      <c r="S263">
        <v>69.260000000000005</v>
      </c>
      <c r="T263">
        <v>73.16</v>
      </c>
      <c r="U263">
        <v>512.1</v>
      </c>
      <c r="V263">
        <v>1075.4000000000001</v>
      </c>
      <c r="W263">
        <v>3647.14</v>
      </c>
      <c r="X263">
        <v>1119.52</v>
      </c>
      <c r="Y263">
        <v>129713.33</v>
      </c>
      <c r="Z263">
        <v>13.171900000000001</v>
      </c>
      <c r="AA263">
        <v>12.9582</v>
      </c>
      <c r="AB263">
        <v>12.7118</v>
      </c>
      <c r="AC263">
        <v>12.9908</v>
      </c>
      <c r="AD263">
        <v>12.9693</v>
      </c>
      <c r="AE263">
        <v>12.6845</v>
      </c>
      <c r="AF263">
        <v>10.65</v>
      </c>
      <c r="AG263">
        <v>1.0884</v>
      </c>
      <c r="AH263">
        <v>152.03</v>
      </c>
      <c r="AI263">
        <v>1.2899</v>
      </c>
      <c r="AJ263">
        <v>1.3934</v>
      </c>
      <c r="AK263">
        <v>10.648199999999999</v>
      </c>
      <c r="AL263">
        <v>0.86409999999999998</v>
      </c>
      <c r="AM263">
        <v>186.63</v>
      </c>
      <c r="AN263">
        <v>113.57</v>
      </c>
      <c r="AO263">
        <v>104.33</v>
      </c>
      <c r="AP263">
        <v>108.2</v>
      </c>
      <c r="AQ263">
        <v>109.21</v>
      </c>
    </row>
    <row r="264" spans="1:43" x14ac:dyDescent="0.25">
      <c r="A264" s="7">
        <v>45625</v>
      </c>
      <c r="B264">
        <v>4.4858000000000002</v>
      </c>
      <c r="C264">
        <v>4.7130000000000001</v>
      </c>
      <c r="D264">
        <v>2.556</v>
      </c>
      <c r="E264">
        <v>0.13500000000000001</v>
      </c>
      <c r="F264">
        <v>4.1509</v>
      </c>
      <c r="G264">
        <v>4.2302999999999997</v>
      </c>
      <c r="H264">
        <v>1.9450000000000001</v>
      </c>
      <c r="I264">
        <v>0.58299999999999996</v>
      </c>
      <c r="J264">
        <v>4.1684999999999999</v>
      </c>
      <c r="K264">
        <v>4.2405999999999997</v>
      </c>
      <c r="L264">
        <v>2.0859999999999999</v>
      </c>
      <c r="M264">
        <v>1.0389999999999999</v>
      </c>
      <c r="N264">
        <v>13.51</v>
      </c>
      <c r="O264">
        <v>163.126</v>
      </c>
      <c r="P264">
        <v>105.73699999999999</v>
      </c>
      <c r="Q264">
        <v>136.5813</v>
      </c>
      <c r="R264">
        <v>5.9713000000000003</v>
      </c>
      <c r="S264">
        <v>68</v>
      </c>
      <c r="T264">
        <v>72.94</v>
      </c>
      <c r="U264">
        <v>520.78</v>
      </c>
      <c r="V264">
        <v>1043.05</v>
      </c>
      <c r="W264">
        <v>3810.14</v>
      </c>
      <c r="X264">
        <v>1078.57</v>
      </c>
      <c r="Y264">
        <v>125667.83</v>
      </c>
      <c r="Z264">
        <v>13.171900000000001</v>
      </c>
      <c r="AA264">
        <v>13.7072</v>
      </c>
      <c r="AB264">
        <v>13.365600000000001</v>
      </c>
      <c r="AC264">
        <v>13.9483</v>
      </c>
      <c r="AD264">
        <v>14.0564</v>
      </c>
      <c r="AE264">
        <v>13.8674</v>
      </c>
      <c r="AF264">
        <v>11.15</v>
      </c>
      <c r="AG264">
        <v>1.0577000000000001</v>
      </c>
      <c r="AH264">
        <v>149.77000000000001</v>
      </c>
      <c r="AI264">
        <v>1.2735000000000001</v>
      </c>
      <c r="AJ264">
        <v>1.4006000000000001</v>
      </c>
      <c r="AK264">
        <v>10.8972</v>
      </c>
      <c r="AL264">
        <v>0.88100000000000001</v>
      </c>
      <c r="AM264">
        <v>186.63</v>
      </c>
      <c r="AN264">
        <v>104.62</v>
      </c>
      <c r="AO264">
        <v>103.77</v>
      </c>
      <c r="AP264">
        <v>107.99</v>
      </c>
      <c r="AQ264">
        <v>105.45</v>
      </c>
    </row>
    <row r="265" spans="1:43" x14ac:dyDescent="0.25">
      <c r="A265" s="7">
        <v>45657</v>
      </c>
      <c r="B265">
        <v>4.3144</v>
      </c>
      <c r="C265">
        <v>4.718</v>
      </c>
      <c r="D265">
        <v>2.4849999999999999</v>
      </c>
      <c r="E265">
        <v>0.222</v>
      </c>
      <c r="F265">
        <v>4.2416</v>
      </c>
      <c r="G265">
        <v>4.3757999999999999</v>
      </c>
      <c r="H265">
        <v>2.077</v>
      </c>
      <c r="I265">
        <v>0.59699999999999998</v>
      </c>
      <c r="J265">
        <v>4.569</v>
      </c>
      <c r="K265">
        <v>4.5648999999999997</v>
      </c>
      <c r="L265">
        <v>2.3639999999999999</v>
      </c>
      <c r="M265">
        <v>1.085</v>
      </c>
      <c r="N265">
        <v>17.350000000000001</v>
      </c>
      <c r="O265">
        <v>216.43299999999999</v>
      </c>
      <c r="P265">
        <v>108.48699999999999</v>
      </c>
      <c r="Q265">
        <v>137.4717</v>
      </c>
      <c r="R265">
        <v>6.1773999999999996</v>
      </c>
      <c r="S265">
        <v>71.72</v>
      </c>
      <c r="T265">
        <v>74.64</v>
      </c>
      <c r="U265">
        <v>529.35</v>
      </c>
      <c r="V265">
        <v>1032.25</v>
      </c>
      <c r="W265">
        <v>3707.84</v>
      </c>
      <c r="X265">
        <v>1075.48</v>
      </c>
      <c r="Y265">
        <v>120283.4</v>
      </c>
      <c r="Z265">
        <v>13.171900000000001</v>
      </c>
      <c r="AA265">
        <v>15.5944</v>
      </c>
      <c r="AB265">
        <v>14.971</v>
      </c>
      <c r="AC265">
        <v>15.8855</v>
      </c>
      <c r="AD265">
        <v>15.936</v>
      </c>
      <c r="AE265">
        <v>15.407999999999999</v>
      </c>
      <c r="AF265">
        <v>12.15</v>
      </c>
      <c r="AG265">
        <v>1.0354000000000001</v>
      </c>
      <c r="AH265">
        <v>157.19999999999999</v>
      </c>
      <c r="AI265">
        <v>1.2516</v>
      </c>
      <c r="AJ265">
        <v>1.4383999999999999</v>
      </c>
      <c r="AK265">
        <v>11.071300000000001</v>
      </c>
      <c r="AL265">
        <v>0.90739999999999998</v>
      </c>
      <c r="AM265">
        <v>186.63</v>
      </c>
      <c r="AN265">
        <v>94.03</v>
      </c>
      <c r="AO265">
        <v>103.74</v>
      </c>
      <c r="AP265">
        <v>107.08</v>
      </c>
      <c r="AQ265">
        <v>104.16</v>
      </c>
    </row>
    <row r="266" spans="1:43" x14ac:dyDescent="0.25">
      <c r="A266" s="7">
        <v>45688</v>
      </c>
      <c r="B266">
        <v>4.2839</v>
      </c>
      <c r="C266">
        <v>4.5279999999999996</v>
      </c>
      <c r="D266">
        <v>2.4780000000000002</v>
      </c>
      <c r="E266">
        <v>0.318</v>
      </c>
      <c r="F266">
        <v>4.1970999999999998</v>
      </c>
      <c r="G266">
        <v>4.2121000000000004</v>
      </c>
      <c r="H266">
        <v>2.11</v>
      </c>
      <c r="I266">
        <v>0.71799999999999997</v>
      </c>
      <c r="J266">
        <v>4.5387000000000004</v>
      </c>
      <c r="K266">
        <v>4.5372000000000003</v>
      </c>
      <c r="L266">
        <v>2.4580000000000002</v>
      </c>
      <c r="M266">
        <v>1.2390000000000001</v>
      </c>
      <c r="N266">
        <v>16.43</v>
      </c>
      <c r="O266">
        <v>179.815</v>
      </c>
      <c r="P266">
        <v>108.37</v>
      </c>
      <c r="Q266">
        <v>138.34379999999999</v>
      </c>
      <c r="R266">
        <v>5.8440000000000003</v>
      </c>
      <c r="S266">
        <v>72.53</v>
      </c>
      <c r="T266">
        <v>76.760000000000005</v>
      </c>
      <c r="U266">
        <v>532.76</v>
      </c>
      <c r="V266">
        <v>1029.8599999999999</v>
      </c>
      <c r="W266">
        <v>3836.58</v>
      </c>
      <c r="X266">
        <v>1093.3699999999999</v>
      </c>
      <c r="Y266">
        <v>126134.94</v>
      </c>
      <c r="Z266">
        <v>13.171900000000001</v>
      </c>
      <c r="AA266">
        <v>14.6911</v>
      </c>
      <c r="AB266">
        <v>14.563000000000001</v>
      </c>
      <c r="AC266">
        <v>14.774900000000001</v>
      </c>
      <c r="AD266">
        <v>14.950100000000001</v>
      </c>
      <c r="AE266">
        <v>14.966900000000001</v>
      </c>
      <c r="AF266">
        <v>13.15</v>
      </c>
      <c r="AG266">
        <v>1.0362</v>
      </c>
      <c r="AH266">
        <v>155.19</v>
      </c>
      <c r="AI266">
        <v>1.2395</v>
      </c>
      <c r="AJ266">
        <v>1.4540999999999999</v>
      </c>
      <c r="AK266">
        <v>11.097200000000001</v>
      </c>
      <c r="AL266">
        <v>0.91090000000000004</v>
      </c>
      <c r="AM266">
        <v>186.63</v>
      </c>
      <c r="AN266">
        <v>94.98</v>
      </c>
      <c r="AO266">
        <v>103.63</v>
      </c>
      <c r="AP266">
        <v>108.32</v>
      </c>
      <c r="AQ266">
        <v>102.87</v>
      </c>
    </row>
    <row r="267" spans="1:43" x14ac:dyDescent="0.25">
      <c r="A267" s="7">
        <v>45716</v>
      </c>
      <c r="B267">
        <v>4.2942</v>
      </c>
      <c r="C267">
        <v>4.4640000000000004</v>
      </c>
      <c r="D267">
        <v>2.2309999999999999</v>
      </c>
      <c r="E267">
        <v>0.311</v>
      </c>
      <c r="F267">
        <v>3.9889000000000001</v>
      </c>
      <c r="G267">
        <v>4.1704999999999997</v>
      </c>
      <c r="H267">
        <v>2.0209999999999999</v>
      </c>
      <c r="I267">
        <v>0.80500000000000005</v>
      </c>
      <c r="J267">
        <v>4.2081999999999997</v>
      </c>
      <c r="K267">
        <v>4.4808000000000003</v>
      </c>
      <c r="L267">
        <v>2.4049999999999998</v>
      </c>
      <c r="M267">
        <v>1.3720000000000001</v>
      </c>
      <c r="N267">
        <v>19.63</v>
      </c>
      <c r="O267">
        <v>180.12</v>
      </c>
      <c r="P267">
        <v>107.614</v>
      </c>
      <c r="Q267">
        <v>137.6507</v>
      </c>
      <c r="R267">
        <v>5.8844000000000003</v>
      </c>
      <c r="S267">
        <v>69.760000000000005</v>
      </c>
      <c r="T267">
        <v>73.180000000000007</v>
      </c>
      <c r="U267">
        <v>509.91</v>
      </c>
      <c r="V267">
        <v>1081.32</v>
      </c>
      <c r="W267">
        <v>3805.33</v>
      </c>
      <c r="X267">
        <v>1097.25</v>
      </c>
      <c r="Y267">
        <v>122799.09</v>
      </c>
      <c r="Z267">
        <v>13.171900000000001</v>
      </c>
      <c r="AA267">
        <v>15.132</v>
      </c>
      <c r="AB267">
        <v>15.033200000000001</v>
      </c>
      <c r="AC267">
        <v>14.993399999999999</v>
      </c>
      <c r="AD267">
        <v>15.0307</v>
      </c>
      <c r="AE267">
        <v>15.042999999999999</v>
      </c>
      <c r="AF267">
        <v>13.15</v>
      </c>
      <c r="AG267">
        <v>1.0375000000000001</v>
      </c>
      <c r="AH267">
        <v>150.63</v>
      </c>
      <c r="AI267">
        <v>1.2577</v>
      </c>
      <c r="AJ267">
        <v>1.4460999999999999</v>
      </c>
      <c r="AK267">
        <v>10.7811</v>
      </c>
      <c r="AL267">
        <v>0.90310000000000001</v>
      </c>
      <c r="AM267">
        <v>186.63</v>
      </c>
      <c r="AN267">
        <v>93.5</v>
      </c>
      <c r="AO267">
        <v>103.07</v>
      </c>
      <c r="AP267">
        <v>108.92</v>
      </c>
      <c r="AQ267">
        <v>106.93</v>
      </c>
    </row>
    <row r="268" spans="1:43" x14ac:dyDescent="0.25">
      <c r="A268" s="7">
        <v>45747</v>
      </c>
      <c r="B268">
        <v>4.2937000000000003</v>
      </c>
      <c r="C268">
        <v>4.4969999999999999</v>
      </c>
      <c r="D268">
        <v>2.1040000000000001</v>
      </c>
      <c r="E268">
        <v>0.36699999999999999</v>
      </c>
      <c r="F268">
        <v>3.8832</v>
      </c>
      <c r="G268">
        <v>4.1927000000000003</v>
      </c>
      <c r="H268">
        <v>2.0449999999999999</v>
      </c>
      <c r="I268">
        <v>0.82899999999999996</v>
      </c>
      <c r="J268">
        <v>4.2053000000000003</v>
      </c>
      <c r="K268">
        <v>4.6738999999999997</v>
      </c>
      <c r="L268">
        <v>2.7360000000000002</v>
      </c>
      <c r="M268">
        <v>1.4850000000000001</v>
      </c>
      <c r="N268">
        <v>22.28</v>
      </c>
      <c r="O268">
        <v>186.54400000000001</v>
      </c>
      <c r="P268">
        <v>104.21</v>
      </c>
      <c r="Q268">
        <v>137.10560000000001</v>
      </c>
      <c r="R268">
        <v>5.7057000000000002</v>
      </c>
      <c r="S268">
        <v>71.48</v>
      </c>
      <c r="T268">
        <v>74.739999999999995</v>
      </c>
      <c r="U268">
        <v>510.6</v>
      </c>
      <c r="V268">
        <v>1161.0999999999999</v>
      </c>
      <c r="W268">
        <v>3628.64</v>
      </c>
      <c r="X268">
        <v>1101.4000000000001</v>
      </c>
      <c r="Y268">
        <v>130259.54</v>
      </c>
      <c r="Z268">
        <v>13.171900000000001</v>
      </c>
      <c r="AA268">
        <v>14.81</v>
      </c>
      <c r="AB268">
        <v>14.8126</v>
      </c>
      <c r="AC268">
        <v>14.71</v>
      </c>
      <c r="AD268">
        <v>14.882999999999999</v>
      </c>
      <c r="AE268">
        <v>15.085699999999999</v>
      </c>
      <c r="AF268">
        <v>14.15</v>
      </c>
      <c r="AG268">
        <v>1.0815999999999999</v>
      </c>
      <c r="AH268">
        <v>149.96</v>
      </c>
      <c r="AI268">
        <v>1.2918000000000001</v>
      </c>
      <c r="AJ268">
        <v>1.4387000000000001</v>
      </c>
      <c r="AK268">
        <v>10.0395</v>
      </c>
      <c r="AL268">
        <v>0.88429999999999997</v>
      </c>
      <c r="AM268">
        <v>186.63</v>
      </c>
      <c r="AN268">
        <v>99.89</v>
      </c>
      <c r="AO268">
        <v>104.75</v>
      </c>
      <c r="AP268">
        <v>109.83</v>
      </c>
      <c r="AQ268">
        <v>114.2</v>
      </c>
    </row>
    <row r="269" spans="1:43" x14ac:dyDescent="0.25">
      <c r="A269" s="7">
        <v>45777</v>
      </c>
      <c r="B269">
        <v>4.2858999999999998</v>
      </c>
      <c r="C269">
        <v>4.2750000000000004</v>
      </c>
      <c r="D269">
        <v>1.877</v>
      </c>
      <c r="E269">
        <v>0.38100000000000001</v>
      </c>
      <c r="F269">
        <v>3.6027</v>
      </c>
      <c r="G269">
        <v>3.7965</v>
      </c>
      <c r="H269">
        <v>1.6830000000000001</v>
      </c>
      <c r="I269">
        <v>0.67100000000000004</v>
      </c>
      <c r="J269">
        <v>4.1619000000000002</v>
      </c>
      <c r="K269">
        <v>4.4396000000000004</v>
      </c>
      <c r="L269">
        <v>2.4430000000000001</v>
      </c>
      <c r="M269">
        <v>1.31</v>
      </c>
      <c r="N269">
        <v>24.7</v>
      </c>
      <c r="O269">
        <v>180.233</v>
      </c>
      <c r="P269">
        <v>99.468000000000004</v>
      </c>
      <c r="Q269">
        <v>136.86080000000001</v>
      </c>
      <c r="R269">
        <v>5.6734</v>
      </c>
      <c r="S269">
        <v>58.21</v>
      </c>
      <c r="T269">
        <v>63.12</v>
      </c>
      <c r="U269">
        <v>529.01</v>
      </c>
      <c r="V269">
        <v>1072.3699999999999</v>
      </c>
      <c r="W269">
        <v>3655.52</v>
      </c>
      <c r="X269">
        <v>1112.8399999999999</v>
      </c>
      <c r="Y269">
        <v>135066.97</v>
      </c>
      <c r="Z269">
        <v>13.171900000000001</v>
      </c>
      <c r="AA269">
        <v>13.7158</v>
      </c>
      <c r="AB269">
        <v>13.8446</v>
      </c>
      <c r="AC269">
        <v>13.450100000000001</v>
      </c>
      <c r="AD269">
        <v>13.7019</v>
      </c>
      <c r="AE269">
        <v>14.462899999999999</v>
      </c>
      <c r="AF269">
        <v>14.15</v>
      </c>
      <c r="AG269">
        <v>1.1328</v>
      </c>
      <c r="AH269">
        <v>143.07</v>
      </c>
      <c r="AI269">
        <v>1.3329</v>
      </c>
      <c r="AJ269">
        <v>1.3798999999999999</v>
      </c>
      <c r="AK269">
        <v>9.6647999999999996</v>
      </c>
      <c r="AL269">
        <v>0.82579999999999998</v>
      </c>
      <c r="AM269">
        <v>186.63</v>
      </c>
      <c r="AN269">
        <v>99.26</v>
      </c>
      <c r="AO269">
        <v>104.39</v>
      </c>
      <c r="AP269">
        <v>110.45</v>
      </c>
      <c r="AQ269">
        <v>112.63</v>
      </c>
    </row>
    <row r="270" spans="1:43" x14ac:dyDescent="0.25">
      <c r="A270" s="7">
        <v>45807</v>
      </c>
      <c r="B270">
        <v>4.3330000000000002</v>
      </c>
      <c r="C270">
        <v>4.2690000000000001</v>
      </c>
      <c r="D270">
        <v>1.8420000000000001</v>
      </c>
      <c r="E270">
        <v>0.40500000000000003</v>
      </c>
      <c r="F270">
        <v>3.8975</v>
      </c>
      <c r="G270">
        <v>4.0162000000000004</v>
      </c>
      <c r="H270">
        <v>1.772</v>
      </c>
      <c r="I270">
        <v>0.73199999999999998</v>
      </c>
      <c r="J270">
        <v>4.4004000000000003</v>
      </c>
      <c r="K270">
        <v>4.6452999999999998</v>
      </c>
      <c r="L270">
        <v>2.4990000000000001</v>
      </c>
      <c r="M270">
        <v>1.488</v>
      </c>
      <c r="N270">
        <v>18.57</v>
      </c>
      <c r="O270">
        <v>161.81399999999999</v>
      </c>
      <c r="P270">
        <v>99.328999999999994</v>
      </c>
      <c r="Q270">
        <v>133.77539999999999</v>
      </c>
      <c r="R270">
        <v>5.7230999999999996</v>
      </c>
      <c r="S270">
        <v>60.79</v>
      </c>
      <c r="T270">
        <v>64.150000000000006</v>
      </c>
      <c r="U270">
        <v>550.54</v>
      </c>
      <c r="V270">
        <v>1048.3800000000001</v>
      </c>
      <c r="W270">
        <v>3863.48</v>
      </c>
      <c r="X270">
        <v>1157.3399999999999</v>
      </c>
      <c r="Y270">
        <v>137026.62</v>
      </c>
      <c r="Z270">
        <v>13.171900000000001</v>
      </c>
      <c r="AA270">
        <v>13.701599999999999</v>
      </c>
      <c r="AB270">
        <v>13.7636</v>
      </c>
      <c r="AC270">
        <v>13.5701</v>
      </c>
      <c r="AD270">
        <v>13.8779</v>
      </c>
      <c r="AE270">
        <v>14.6288</v>
      </c>
      <c r="AF270">
        <v>14.65</v>
      </c>
      <c r="AG270">
        <v>1.1347</v>
      </c>
      <c r="AH270">
        <v>144.02000000000001</v>
      </c>
      <c r="AI270">
        <v>1.3459000000000001</v>
      </c>
      <c r="AJ270">
        <v>1.3738999999999999</v>
      </c>
      <c r="AK270">
        <v>9.5975000000000001</v>
      </c>
      <c r="AL270">
        <v>0.82240000000000002</v>
      </c>
      <c r="AM270">
        <v>186.63</v>
      </c>
      <c r="AN270">
        <v>107</v>
      </c>
      <c r="AO270">
        <v>103.8</v>
      </c>
      <c r="AP270">
        <v>109.04</v>
      </c>
      <c r="AQ270">
        <v>108.63</v>
      </c>
    </row>
    <row r="271" spans="1:43" x14ac:dyDescent="0.25">
      <c r="A271" s="7">
        <v>45838</v>
      </c>
      <c r="B271">
        <v>4.2911000000000001</v>
      </c>
      <c r="C271">
        <v>4.202</v>
      </c>
      <c r="D271">
        <v>1.7889999999999999</v>
      </c>
      <c r="E271">
        <v>0.432</v>
      </c>
      <c r="F271">
        <v>3.7191999999999998</v>
      </c>
      <c r="G271">
        <v>3.8132000000000001</v>
      </c>
      <c r="H271">
        <v>1.857</v>
      </c>
      <c r="I271">
        <v>0.745</v>
      </c>
      <c r="J271">
        <v>4.2279999999999998</v>
      </c>
      <c r="K271">
        <v>4.4880000000000004</v>
      </c>
      <c r="L271">
        <v>2.605</v>
      </c>
      <c r="M271">
        <v>1.4259999999999999</v>
      </c>
      <c r="N271">
        <v>16.73</v>
      </c>
      <c r="O271">
        <v>149.03200000000001</v>
      </c>
      <c r="P271">
        <v>96.875</v>
      </c>
      <c r="Q271">
        <v>132.2201</v>
      </c>
      <c r="R271">
        <v>5.4317000000000002</v>
      </c>
      <c r="S271">
        <v>65.11</v>
      </c>
      <c r="T271">
        <v>67.61</v>
      </c>
      <c r="U271">
        <v>561.72</v>
      </c>
      <c r="V271">
        <v>1098.52</v>
      </c>
      <c r="W271">
        <v>4026.44</v>
      </c>
      <c r="X271">
        <v>1222.78</v>
      </c>
      <c r="Y271">
        <v>138854.6</v>
      </c>
      <c r="Z271">
        <v>13.171900000000001</v>
      </c>
      <c r="AA271">
        <v>13.149900000000001</v>
      </c>
      <c r="AB271">
        <v>13.2746</v>
      </c>
      <c r="AC271">
        <v>13.0968</v>
      </c>
      <c r="AD271">
        <v>13.6037</v>
      </c>
      <c r="AE271">
        <v>14.6782</v>
      </c>
      <c r="AF271">
        <v>14.9</v>
      </c>
      <c r="AG271">
        <v>1.1787000000000001</v>
      </c>
      <c r="AH271">
        <v>144.03</v>
      </c>
      <c r="AI271">
        <v>1.3732</v>
      </c>
      <c r="AJ271">
        <v>1.3608</v>
      </c>
      <c r="AK271">
        <v>9.4585000000000008</v>
      </c>
      <c r="AL271">
        <v>0.79310000000000003</v>
      </c>
      <c r="AM271">
        <v>186.63</v>
      </c>
      <c r="AN271">
        <v>103.78</v>
      </c>
      <c r="AO271">
        <v>103.86</v>
      </c>
      <c r="AP271">
        <v>108.87</v>
      </c>
      <c r="AQ271">
        <v>107.42</v>
      </c>
    </row>
    <row r="272" spans="1:43" x14ac:dyDescent="0.25">
      <c r="A272" s="7">
        <v>45869</v>
      </c>
      <c r="B272">
        <v>4.3372000000000002</v>
      </c>
      <c r="C272">
        <v>4.1529999999999996</v>
      </c>
      <c r="D272">
        <v>1.8420000000000001</v>
      </c>
      <c r="E272">
        <v>0.436</v>
      </c>
      <c r="F272">
        <v>3.9571000000000001</v>
      </c>
      <c r="G272">
        <v>3.8573</v>
      </c>
      <c r="H272">
        <v>1.96</v>
      </c>
      <c r="I272">
        <v>0.81699999999999995</v>
      </c>
      <c r="J272">
        <v>4.3739999999999997</v>
      </c>
      <c r="K272">
        <v>4.5681000000000003</v>
      </c>
      <c r="L272">
        <v>2.6930000000000001</v>
      </c>
      <c r="M272">
        <v>1.55</v>
      </c>
      <c r="N272">
        <v>16.72</v>
      </c>
      <c r="O272">
        <v>149.71799999999999</v>
      </c>
      <c r="P272">
        <v>99.968000000000004</v>
      </c>
      <c r="Q272">
        <v>131.5744</v>
      </c>
      <c r="R272">
        <v>5.6002999999999998</v>
      </c>
      <c r="S272">
        <v>69.260000000000005</v>
      </c>
      <c r="T272">
        <v>72.53</v>
      </c>
      <c r="U272">
        <v>554.21</v>
      </c>
      <c r="V272">
        <v>1062.54</v>
      </c>
      <c r="W272">
        <v>4076.04</v>
      </c>
      <c r="X272">
        <v>1243.23</v>
      </c>
      <c r="Y272">
        <v>133071.04999999999</v>
      </c>
      <c r="Z272">
        <v>13.171900000000001</v>
      </c>
      <c r="AA272">
        <v>13.719900000000001</v>
      </c>
      <c r="AB272">
        <v>13.8497</v>
      </c>
      <c r="AC272">
        <v>13.5718</v>
      </c>
      <c r="AD272">
        <v>13.8934</v>
      </c>
      <c r="AE272">
        <v>14.7453</v>
      </c>
      <c r="AF272">
        <v>14.9</v>
      </c>
      <c r="AG272">
        <v>1.1415</v>
      </c>
      <c r="AH272">
        <v>150.75</v>
      </c>
      <c r="AI272">
        <v>1.3207</v>
      </c>
      <c r="AJ272">
        <v>1.3855999999999999</v>
      </c>
      <c r="AK272">
        <v>9.7914999999999992</v>
      </c>
      <c r="AL272">
        <v>0.81230000000000002</v>
      </c>
      <c r="AM272">
        <v>186.63</v>
      </c>
      <c r="AN272">
        <v>112.26</v>
      </c>
      <c r="AO272">
        <v>103.71</v>
      </c>
      <c r="AP272">
        <v>108.39</v>
      </c>
      <c r="AQ272">
        <v>113.27</v>
      </c>
    </row>
    <row r="273" spans="1:43" x14ac:dyDescent="0.25">
      <c r="A273" s="7">
        <v>45898</v>
      </c>
      <c r="B273">
        <v>4.1391</v>
      </c>
      <c r="C273">
        <v>4.0650000000000004</v>
      </c>
      <c r="D273">
        <v>1.8129999999999999</v>
      </c>
      <c r="E273">
        <v>0.45800000000000002</v>
      </c>
      <c r="F273">
        <v>3.6166999999999998</v>
      </c>
      <c r="G273">
        <v>3.9371</v>
      </c>
      <c r="H273">
        <v>1.9370000000000001</v>
      </c>
      <c r="I273">
        <v>0.86599999999999999</v>
      </c>
      <c r="J273">
        <v>4.2283999999999997</v>
      </c>
      <c r="K273">
        <v>4.7205000000000004</v>
      </c>
      <c r="L273">
        <v>2.7229999999999999</v>
      </c>
      <c r="M273">
        <v>1.595</v>
      </c>
      <c r="N273">
        <v>15.36</v>
      </c>
      <c r="O273">
        <v>136.85900000000001</v>
      </c>
      <c r="P273">
        <v>97.771000000000001</v>
      </c>
      <c r="Q273">
        <v>132.0667</v>
      </c>
      <c r="R273">
        <v>5.4297000000000004</v>
      </c>
      <c r="S273">
        <v>64.010000000000005</v>
      </c>
      <c r="T273">
        <v>68.12</v>
      </c>
      <c r="U273">
        <v>528.86</v>
      </c>
      <c r="V273">
        <v>1087.7</v>
      </c>
      <c r="W273">
        <v>4177.72</v>
      </c>
      <c r="X273">
        <v>1258.44</v>
      </c>
      <c r="Y273">
        <v>141422.26</v>
      </c>
      <c r="Z273">
        <v>13.171900000000001</v>
      </c>
      <c r="AA273">
        <v>13.456799999999999</v>
      </c>
      <c r="AB273">
        <v>13.684799999999999</v>
      </c>
      <c r="AC273">
        <v>13.1999</v>
      </c>
      <c r="AD273">
        <v>13.451700000000001</v>
      </c>
      <c r="AE273">
        <v>14.366099999999999</v>
      </c>
      <c r="AF273">
        <v>14.9</v>
      </c>
      <c r="AG273">
        <v>1.1686000000000001</v>
      </c>
      <c r="AH273">
        <v>147.05000000000001</v>
      </c>
      <c r="AI273">
        <v>1.3504</v>
      </c>
      <c r="AJ273">
        <v>1.3741000000000001</v>
      </c>
      <c r="AK273">
        <v>9.4572000000000003</v>
      </c>
      <c r="AL273">
        <v>0.80049999999999999</v>
      </c>
      <c r="AM273">
        <v>186.63</v>
      </c>
      <c r="AN273">
        <v>112.98</v>
      </c>
      <c r="AO273">
        <v>104.48</v>
      </c>
      <c r="AP273">
        <v>108.83</v>
      </c>
      <c r="AQ273">
        <v>110.5</v>
      </c>
    </row>
    <row r="274" spans="1:43" x14ac:dyDescent="0.25">
      <c r="A274" s="7">
        <v>45930</v>
      </c>
      <c r="B274">
        <v>3.9323000000000001</v>
      </c>
      <c r="C274">
        <v>4.1100000000000003</v>
      </c>
      <c r="D274">
        <v>1.742</v>
      </c>
      <c r="E274">
        <v>0.45100000000000001</v>
      </c>
      <c r="F274">
        <v>3.6082999999999998</v>
      </c>
      <c r="G274">
        <v>3.9805999999999999</v>
      </c>
      <c r="H274">
        <v>2.0179999999999998</v>
      </c>
      <c r="I274">
        <v>0.93799999999999994</v>
      </c>
      <c r="J274">
        <v>4.1502999999999997</v>
      </c>
      <c r="K274">
        <v>4.6982999999999997</v>
      </c>
      <c r="L274">
        <v>2.71</v>
      </c>
      <c r="M274">
        <v>1.6419999999999999</v>
      </c>
      <c r="N274">
        <v>16.28</v>
      </c>
      <c r="O274">
        <v>136.273</v>
      </c>
      <c r="P274">
        <v>97.775000000000006</v>
      </c>
      <c r="Q274">
        <v>131.42500000000001</v>
      </c>
      <c r="R274">
        <v>5.3217999999999996</v>
      </c>
      <c r="S274">
        <v>62.37</v>
      </c>
      <c r="T274">
        <v>67.02</v>
      </c>
      <c r="U274">
        <v>502.45</v>
      </c>
      <c r="V274">
        <v>1122.29</v>
      </c>
      <c r="W274">
        <v>4306.7</v>
      </c>
      <c r="X274">
        <v>1346.05</v>
      </c>
      <c r="Y274">
        <v>146237.01999999999</v>
      </c>
      <c r="Z274">
        <v>13.171900000000001</v>
      </c>
      <c r="AA274">
        <v>13.394</v>
      </c>
      <c r="AB274">
        <v>13.4831</v>
      </c>
      <c r="AC274">
        <v>13.234999999999999</v>
      </c>
      <c r="AD274">
        <v>13.478</v>
      </c>
      <c r="AE274">
        <v>14.324</v>
      </c>
      <c r="AF274">
        <v>14.9</v>
      </c>
      <c r="AG274">
        <v>1.1734</v>
      </c>
      <c r="AH274">
        <v>147.9</v>
      </c>
      <c r="AI274">
        <v>1.3446</v>
      </c>
      <c r="AJ274">
        <v>1.3919999999999999</v>
      </c>
      <c r="AK274">
        <v>9.4167000000000005</v>
      </c>
      <c r="AL274">
        <v>0.7964</v>
      </c>
      <c r="AM274">
        <v>186.63</v>
      </c>
      <c r="AN274">
        <v>111.93</v>
      </c>
      <c r="AO274">
        <v>104.08</v>
      </c>
      <c r="AP274">
        <v>108.69</v>
      </c>
      <c r="AQ274">
        <v>109.54</v>
      </c>
    </row>
    <row r="275" spans="1:43" x14ac:dyDescent="0.25">
      <c r="A275" s="7">
        <v>45961</v>
      </c>
      <c r="B275">
        <v>3.8007</v>
      </c>
      <c r="C275">
        <v>3.9940000000000002</v>
      </c>
      <c r="D275">
        <v>1.7430000000000001</v>
      </c>
      <c r="E275">
        <v>0.45100000000000001</v>
      </c>
      <c r="F275">
        <v>3.5735999999999999</v>
      </c>
      <c r="G275">
        <v>3.7646999999999999</v>
      </c>
      <c r="H275">
        <v>1.966</v>
      </c>
      <c r="I275">
        <v>0.91900000000000004</v>
      </c>
      <c r="J275">
        <v>4.0774999999999997</v>
      </c>
      <c r="K275">
        <v>4.4085000000000001</v>
      </c>
      <c r="L275">
        <v>2.6320000000000001</v>
      </c>
      <c r="M275">
        <v>1.663</v>
      </c>
      <c r="N275">
        <v>17.440000000000001</v>
      </c>
      <c r="O275">
        <v>139.21299999999999</v>
      </c>
      <c r="P275">
        <v>99.804000000000002</v>
      </c>
      <c r="Q275">
        <v>131.66679999999999</v>
      </c>
      <c r="R275">
        <v>5.3765999999999998</v>
      </c>
      <c r="S275">
        <v>60.98</v>
      </c>
      <c r="T275">
        <v>65.069999999999993</v>
      </c>
      <c r="U275">
        <v>492.79</v>
      </c>
      <c r="V275">
        <v>1153.43</v>
      </c>
      <c r="W275">
        <v>4390.42</v>
      </c>
      <c r="X275">
        <v>1401.55</v>
      </c>
      <c r="Y275">
        <v>149540.43</v>
      </c>
      <c r="Z275">
        <v>13.171900000000001</v>
      </c>
      <c r="AA275">
        <v>13.3352</v>
      </c>
      <c r="AB275">
        <v>13.51</v>
      </c>
      <c r="AC275">
        <v>13.0814</v>
      </c>
      <c r="AD275">
        <v>13.207100000000001</v>
      </c>
      <c r="AE275">
        <v>14.0497</v>
      </c>
      <c r="AF275">
        <v>14.9</v>
      </c>
      <c r="AG275">
        <v>1.1536999999999999</v>
      </c>
      <c r="AH275">
        <v>153.99</v>
      </c>
      <c r="AI275">
        <v>1.3151999999999999</v>
      </c>
      <c r="AJ275">
        <v>1.401</v>
      </c>
      <c r="AK275">
        <v>9.4906000000000006</v>
      </c>
      <c r="AL275">
        <v>0.80459999999999998</v>
      </c>
      <c r="AM275">
        <v>186.63</v>
      </c>
      <c r="AN275">
        <v>113.1</v>
      </c>
      <c r="AO275">
        <v>104.27</v>
      </c>
      <c r="AP275">
        <v>108.76</v>
      </c>
      <c r="AQ275">
        <v>110.17</v>
      </c>
    </row>
    <row r="276" spans="1:43" x14ac:dyDescent="0.25">
      <c r="A276" s="7">
        <v>45989</v>
      </c>
      <c r="B276">
        <v>3.7955999999999999</v>
      </c>
      <c r="C276">
        <v>3.9180000000000001</v>
      </c>
      <c r="D276">
        <v>1.861</v>
      </c>
      <c r="E276">
        <v>0.496</v>
      </c>
      <c r="F276">
        <v>3.4893000000000001</v>
      </c>
      <c r="G276">
        <v>3.7362000000000002</v>
      </c>
      <c r="H276">
        <v>2.0259999999999998</v>
      </c>
      <c r="I276">
        <v>0.97199999999999998</v>
      </c>
      <c r="J276">
        <v>4.0132000000000003</v>
      </c>
      <c r="K276">
        <v>4.4397000000000002</v>
      </c>
      <c r="L276">
        <v>2.6880000000000002</v>
      </c>
      <c r="M276">
        <v>1.806</v>
      </c>
      <c r="N276">
        <v>16.350000000000001</v>
      </c>
      <c r="O276">
        <v>141.75399999999999</v>
      </c>
      <c r="P276">
        <v>99.459000000000003</v>
      </c>
      <c r="Q276">
        <v>131.8663</v>
      </c>
      <c r="R276">
        <v>5.3350999999999997</v>
      </c>
      <c r="S276">
        <v>58.55</v>
      </c>
      <c r="T276">
        <v>63.2</v>
      </c>
      <c r="U276">
        <v>473.24</v>
      </c>
      <c r="V276">
        <v>1179.3</v>
      </c>
      <c r="W276">
        <v>4398.4399999999996</v>
      </c>
      <c r="X276">
        <v>1366.92</v>
      </c>
      <c r="Y276">
        <v>159072.13</v>
      </c>
      <c r="Z276">
        <v>13.171900000000001</v>
      </c>
      <c r="AA276">
        <v>12.973599999999999</v>
      </c>
      <c r="AB276">
        <v>13.151400000000001</v>
      </c>
      <c r="AC276">
        <v>12.7257</v>
      </c>
      <c r="AD276">
        <v>12.835699999999999</v>
      </c>
      <c r="AE276">
        <v>13.698700000000001</v>
      </c>
      <c r="AF276">
        <v>14.9</v>
      </c>
      <c r="AG276">
        <v>1.1597999999999999</v>
      </c>
      <c r="AH276">
        <v>156.18</v>
      </c>
      <c r="AI276">
        <v>1.3234999999999999</v>
      </c>
      <c r="AJ276">
        <v>1.3976999999999999</v>
      </c>
      <c r="AK276">
        <v>9.4474</v>
      </c>
      <c r="AL276">
        <v>0.80400000000000005</v>
      </c>
      <c r="AM276">
        <v>186.63</v>
      </c>
      <c r="AN276">
        <v>103.14</v>
      </c>
      <c r="AO276">
        <v>104.11</v>
      </c>
      <c r="AP276">
        <v>109.28</v>
      </c>
      <c r="AQ276">
        <v>106.6</v>
      </c>
    </row>
    <row r="277" spans="1:43" x14ac:dyDescent="0.25">
      <c r="A277" s="7">
        <v>46022</v>
      </c>
      <c r="B277">
        <v>3.6263999999999998</v>
      </c>
      <c r="C277">
        <v>3.8570000000000002</v>
      </c>
      <c r="D277">
        <v>1.9930000000000001</v>
      </c>
      <c r="E277">
        <v>0.58599999999999997</v>
      </c>
      <c r="F277">
        <v>3.4729999999999999</v>
      </c>
      <c r="G277">
        <v>3.7141999999999999</v>
      </c>
      <c r="H277">
        <v>2.12</v>
      </c>
      <c r="I277">
        <v>1.1679999999999999</v>
      </c>
      <c r="J277">
        <v>4.1669999999999998</v>
      </c>
      <c r="K277">
        <v>4.476</v>
      </c>
      <c r="L277">
        <v>2.8540000000000001</v>
      </c>
      <c r="M277">
        <v>2.0590000000000002</v>
      </c>
      <c r="N277">
        <v>14.95</v>
      </c>
      <c r="O277">
        <v>138.32599999999999</v>
      </c>
      <c r="P277">
        <v>98.322000000000003</v>
      </c>
      <c r="Q277">
        <v>130.93170000000001</v>
      </c>
      <c r="R277">
        <v>5.4748999999999999</v>
      </c>
      <c r="S277">
        <v>57.42</v>
      </c>
      <c r="T277">
        <v>60.85</v>
      </c>
      <c r="U277">
        <v>474.85</v>
      </c>
      <c r="V277">
        <v>1212.96</v>
      </c>
      <c r="W277">
        <v>4430.38</v>
      </c>
      <c r="X277">
        <v>1404.37</v>
      </c>
      <c r="Y277">
        <v>161125.37</v>
      </c>
      <c r="Z277">
        <v>13.171900000000001</v>
      </c>
      <c r="AA277">
        <v>13.4778</v>
      </c>
      <c r="AB277">
        <v>13.517799999999999</v>
      </c>
      <c r="AC277">
        <v>13.201000000000001</v>
      </c>
      <c r="AD277">
        <v>13.1755</v>
      </c>
      <c r="AE277">
        <v>13.806900000000001</v>
      </c>
      <c r="AF277">
        <v>14.9</v>
      </c>
      <c r="AG277">
        <v>1.1746000000000001</v>
      </c>
      <c r="AH277">
        <v>156.71</v>
      </c>
      <c r="AI277">
        <v>1.3474999999999999</v>
      </c>
      <c r="AJ277">
        <v>1.3724000000000001</v>
      </c>
      <c r="AK277">
        <v>9.2108000000000008</v>
      </c>
      <c r="AL277">
        <v>0.79259999999999997</v>
      </c>
      <c r="AM277">
        <v>186.63</v>
      </c>
      <c r="AN277">
        <v>93.9</v>
      </c>
      <c r="AO277">
        <v>102.1</v>
      </c>
      <c r="AP277">
        <v>109.29</v>
      </c>
      <c r="AQ277">
        <v>107.36</v>
      </c>
    </row>
    <row r="278" spans="1:43" x14ac:dyDescent="0.25">
      <c r="A278" s="7">
        <v>46052</v>
      </c>
      <c r="B278">
        <v>3.6537000000000002</v>
      </c>
      <c r="C278">
        <v>3.7730000000000001</v>
      </c>
      <c r="D278">
        <v>1.962</v>
      </c>
      <c r="E278">
        <v>0.73799999999999999</v>
      </c>
      <c r="F278">
        <v>3.5224000000000002</v>
      </c>
      <c r="G278">
        <v>3.7094999999999998</v>
      </c>
      <c r="H278">
        <v>2.085</v>
      </c>
      <c r="I278">
        <v>1.2250000000000001</v>
      </c>
      <c r="J278">
        <v>4.2355</v>
      </c>
      <c r="K278">
        <v>4.5208000000000004</v>
      </c>
      <c r="L278">
        <v>2.8420000000000001</v>
      </c>
      <c r="M278">
        <v>2.2440000000000002</v>
      </c>
      <c r="N278">
        <v>17.440000000000001</v>
      </c>
      <c r="O278">
        <v>130.09399999999999</v>
      </c>
      <c r="P278">
        <v>96.991</v>
      </c>
      <c r="Q278">
        <v>129.36189999999999</v>
      </c>
      <c r="R278">
        <v>5.2633999999999999</v>
      </c>
      <c r="S278">
        <v>65.209999999999994</v>
      </c>
      <c r="T278">
        <v>70.69</v>
      </c>
      <c r="U278">
        <v>466.79</v>
      </c>
      <c r="V278">
        <v>1324.45</v>
      </c>
      <c r="W278">
        <v>4527.59</v>
      </c>
      <c r="X278">
        <v>1528.09</v>
      </c>
      <c r="Y278">
        <v>181363.9</v>
      </c>
      <c r="Z278">
        <v>13.171900000000001</v>
      </c>
      <c r="AA278">
        <v>13.0596</v>
      </c>
      <c r="AB278">
        <v>13.312200000000001</v>
      </c>
      <c r="AC278">
        <v>12.718500000000001</v>
      </c>
      <c r="AD278">
        <v>12.6876</v>
      </c>
      <c r="AE278">
        <v>13.342700000000001</v>
      </c>
      <c r="AF278">
        <v>14.9</v>
      </c>
      <c r="AG278">
        <v>1.1851</v>
      </c>
      <c r="AH278">
        <v>154.78</v>
      </c>
      <c r="AI278">
        <v>1.3686</v>
      </c>
      <c r="AJ278">
        <v>1.3613</v>
      </c>
      <c r="AK278">
        <v>8.9207000000000001</v>
      </c>
      <c r="AL278">
        <v>0.77300000000000002</v>
      </c>
      <c r="AM278">
        <v>186.63</v>
      </c>
      <c r="AN278">
        <v>95.2</v>
      </c>
      <c r="AO278">
        <v>104.23</v>
      </c>
      <c r="AP278">
        <v>110.23</v>
      </c>
      <c r="AQ278">
        <v>103.97</v>
      </c>
    </row>
    <row r="279" spans="1:43" x14ac:dyDescent="0.25">
      <c r="A279" s="7">
        <v>46080</v>
      </c>
      <c r="B279">
        <v>3.6562000000000001</v>
      </c>
      <c r="C279">
        <v>3.6320000000000001</v>
      </c>
      <c r="D279">
        <v>1.9039999999999999</v>
      </c>
      <c r="E279">
        <v>0.76500000000000001</v>
      </c>
      <c r="F279">
        <v>3.3748999999999998</v>
      </c>
      <c r="G279">
        <v>3.5152000000000001</v>
      </c>
      <c r="H279">
        <v>1.9950000000000001</v>
      </c>
      <c r="I279">
        <v>1.224</v>
      </c>
      <c r="J279">
        <v>3.9375</v>
      </c>
      <c r="K279">
        <v>4.2317</v>
      </c>
      <c r="L279">
        <v>2.6429999999999998</v>
      </c>
      <c r="M279">
        <v>2.1110000000000002</v>
      </c>
      <c r="N279">
        <v>19.86</v>
      </c>
      <c r="O279">
        <v>132.89400000000001</v>
      </c>
      <c r="P279">
        <v>97.608000000000004</v>
      </c>
      <c r="Q279">
        <v>127.6815</v>
      </c>
      <c r="R279">
        <v>5.1252000000000004</v>
      </c>
      <c r="S279">
        <v>67.02</v>
      </c>
      <c r="T279">
        <v>72.48</v>
      </c>
      <c r="U279">
        <v>465.9</v>
      </c>
      <c r="V279">
        <v>1378.38</v>
      </c>
      <c r="W279">
        <v>4556.79</v>
      </c>
      <c r="X279">
        <v>1610.7</v>
      </c>
      <c r="Y279">
        <v>188786.98</v>
      </c>
      <c r="Z279">
        <v>13.171900000000001</v>
      </c>
      <c r="AA279">
        <v>13.0571</v>
      </c>
      <c r="AB279">
        <v>13.3344</v>
      </c>
      <c r="AC279">
        <v>12.691800000000001</v>
      </c>
      <c r="AD279">
        <v>12.6128</v>
      </c>
      <c r="AE279">
        <v>13.1004</v>
      </c>
      <c r="AF279">
        <v>14.9</v>
      </c>
      <c r="AG279">
        <v>1.1812</v>
      </c>
      <c r="AH279">
        <v>156.05000000000001</v>
      </c>
      <c r="AI279">
        <v>1.3482000000000001</v>
      </c>
      <c r="AJ279">
        <v>1.3640000000000001</v>
      </c>
      <c r="AK279">
        <v>9.0288000000000004</v>
      </c>
      <c r="AL279">
        <v>0.76929999999999998</v>
      </c>
      <c r="AM279">
        <v>186.63</v>
      </c>
      <c r="AN279">
        <v>92.81</v>
      </c>
      <c r="AO279">
        <v>105.19</v>
      </c>
      <c r="AP279">
        <v>110.89</v>
      </c>
      <c r="AQ279">
        <v>106.65</v>
      </c>
    </row>
    <row r="280" spans="1:43" x14ac:dyDescent="0.25">
      <c r="A280" s="7">
        <v>46112</v>
      </c>
      <c r="B280">
        <v>3.6718000000000002</v>
      </c>
      <c r="C280">
        <v>3.9449999999999998</v>
      </c>
      <c r="D280">
        <v>2.1339999999999999</v>
      </c>
      <c r="E280">
        <v>0.84299999999999997</v>
      </c>
      <c r="F280">
        <v>3.7930000000000001</v>
      </c>
      <c r="G280">
        <v>4.4021999999999997</v>
      </c>
      <c r="H280">
        <v>2.613</v>
      </c>
      <c r="I280">
        <v>1.3440000000000001</v>
      </c>
      <c r="J280">
        <v>4.3166000000000002</v>
      </c>
      <c r="K280">
        <v>4.9146999999999998</v>
      </c>
      <c r="L280">
        <v>3.0019999999999998</v>
      </c>
      <c r="M280">
        <v>2.3460000000000001</v>
      </c>
      <c r="N280">
        <v>25.25</v>
      </c>
      <c r="O280">
        <v>139.77099999999999</v>
      </c>
      <c r="P280">
        <v>99.960999999999999</v>
      </c>
      <c r="Q280">
        <v>129.83179999999999</v>
      </c>
      <c r="R280">
        <v>5.1805000000000003</v>
      </c>
      <c r="S280">
        <v>101.38</v>
      </c>
      <c r="T280">
        <v>118.35</v>
      </c>
      <c r="U280">
        <v>494.12</v>
      </c>
      <c r="V280">
        <v>1292.0999999999999</v>
      </c>
      <c r="W280">
        <v>4258.3100000000004</v>
      </c>
      <c r="X280">
        <v>1397.2</v>
      </c>
      <c r="Y280">
        <v>187461.84</v>
      </c>
      <c r="Z280">
        <v>13.171900000000001</v>
      </c>
      <c r="AA280">
        <v>13.8452</v>
      </c>
      <c r="AB280">
        <v>13.871600000000001</v>
      </c>
      <c r="AC280">
        <v>13.7354</v>
      </c>
      <c r="AD280">
        <v>13.738799999999999</v>
      </c>
      <c r="AE280">
        <v>13.9772</v>
      </c>
      <c r="AF280">
        <v>14.65</v>
      </c>
      <c r="AG280">
        <v>1.1553</v>
      </c>
      <c r="AH280">
        <v>158.72</v>
      </c>
      <c r="AI280">
        <v>1.3227</v>
      </c>
      <c r="AJ280">
        <v>1.3915999999999999</v>
      </c>
      <c r="AK280">
        <v>9.4688999999999997</v>
      </c>
      <c r="AL280">
        <v>0.79949999999999999</v>
      </c>
      <c r="AM280">
        <v>186.63</v>
      </c>
      <c r="AN280">
        <v>104.17</v>
      </c>
      <c r="AO280">
        <v>105.24</v>
      </c>
      <c r="AP280">
        <v>110.89</v>
      </c>
      <c r="AQ280">
        <v>106.65</v>
      </c>
    </row>
    <row r="281" spans="1:43" x14ac:dyDescent="0.25">
      <c r="A281" s="7">
        <v>46142</v>
      </c>
      <c r="B281">
        <v>3.6604000000000001</v>
      </c>
      <c r="C281">
        <v>3.923</v>
      </c>
      <c r="D281">
        <v>1.9410000000000001</v>
      </c>
      <c r="E281">
        <v>0.82</v>
      </c>
      <c r="F281">
        <v>3.8689</v>
      </c>
      <c r="G281">
        <v>4.4492000000000003</v>
      </c>
      <c r="H281">
        <v>2.64</v>
      </c>
      <c r="I281">
        <v>1.371</v>
      </c>
      <c r="J281">
        <v>4.3705999999999996</v>
      </c>
      <c r="K281">
        <v>5.0115999999999996</v>
      </c>
      <c r="L281">
        <v>3.0350000000000001</v>
      </c>
      <c r="M281">
        <v>2.5169999999999999</v>
      </c>
      <c r="N281">
        <v>16.89</v>
      </c>
      <c r="O281">
        <v>119.904</v>
      </c>
      <c r="P281">
        <v>98.055999999999997</v>
      </c>
      <c r="Q281">
        <v>128.63560000000001</v>
      </c>
      <c r="R281">
        <v>4.9554</v>
      </c>
      <c r="S281">
        <v>105.07</v>
      </c>
      <c r="T281">
        <v>114.01</v>
      </c>
      <c r="U281">
        <v>494.12</v>
      </c>
      <c r="V281">
        <v>1292.0999999999999</v>
      </c>
      <c r="W281">
        <v>4660.7</v>
      </c>
      <c r="X281">
        <v>1600.21</v>
      </c>
      <c r="Y281">
        <v>187317.64</v>
      </c>
      <c r="Z281">
        <v>13.171900000000001</v>
      </c>
      <c r="AA281">
        <v>13.673999999999999</v>
      </c>
      <c r="AB281">
        <v>13.6852</v>
      </c>
      <c r="AC281">
        <v>13.670500000000001</v>
      </c>
      <c r="AD281">
        <v>13.726100000000001</v>
      </c>
      <c r="AE281">
        <v>14.026199999999999</v>
      </c>
      <c r="AF281">
        <v>14.4</v>
      </c>
      <c r="AG281">
        <v>1.1731</v>
      </c>
      <c r="AH281">
        <v>156.59</v>
      </c>
      <c r="AI281">
        <v>1.3604000000000001</v>
      </c>
      <c r="AJ281">
        <v>1.3582000000000001</v>
      </c>
      <c r="AK281">
        <v>9.2407000000000004</v>
      </c>
      <c r="AL281">
        <v>0.78139999999999998</v>
      </c>
      <c r="AM281">
        <v>186.63</v>
      </c>
      <c r="AN281">
        <v>104.17</v>
      </c>
      <c r="AO281">
        <v>105.24</v>
      </c>
      <c r="AP281">
        <v>110.89</v>
      </c>
      <c r="AQ281">
        <v>106.65</v>
      </c>
    </row>
    <row r="282" spans="1:43" x14ac:dyDescent="0.25">
      <c r="A282" s="7"/>
    </row>
    <row r="283" spans="1:43" x14ac:dyDescent="0.25">
      <c r="A283" s="7"/>
    </row>
    <row r="284" spans="1:43" x14ac:dyDescent="0.25">
      <c r="A284" s="7"/>
    </row>
    <row r="285" spans="1:43" x14ac:dyDescent="0.25">
      <c r="A285" s="7"/>
    </row>
    <row r="286" spans="1:43" x14ac:dyDescent="0.25">
      <c r="A286" s="7"/>
    </row>
    <row r="287" spans="1:43" x14ac:dyDescent="0.25">
      <c r="A287" s="7"/>
    </row>
    <row r="288" spans="1:43" x14ac:dyDescent="0.25">
      <c r="A288" s="7"/>
    </row>
    <row r="289" spans="1:1" x14ac:dyDescent="0.25">
      <c r="A289" s="7"/>
    </row>
    <row r="290" spans="1:1" x14ac:dyDescent="0.25">
      <c r="A290" s="7"/>
    </row>
    <row r="291" spans="1:1" x14ac:dyDescent="0.25">
      <c r="A291" s="7"/>
    </row>
    <row r="292" spans="1:1" x14ac:dyDescent="0.25">
      <c r="A292" s="7"/>
    </row>
    <row r="293" spans="1:1" x14ac:dyDescent="0.25">
      <c r="A293" s="7"/>
    </row>
    <row r="294" spans="1:1" x14ac:dyDescent="0.25">
      <c r="A294" s="7"/>
    </row>
    <row r="295" spans="1:1" x14ac:dyDescent="0.25">
      <c r="A295" s="7"/>
    </row>
    <row r="296" spans="1:1" x14ac:dyDescent="0.25">
      <c r="A296" s="7"/>
    </row>
    <row r="297" spans="1:1" x14ac:dyDescent="0.25">
      <c r="A297" s="7"/>
    </row>
    <row r="298" spans="1:1" x14ac:dyDescent="0.25">
      <c r="A298" s="7"/>
    </row>
    <row r="299" spans="1:1" x14ac:dyDescent="0.25">
      <c r="A299" s="7"/>
    </row>
    <row r="300" spans="1:1" x14ac:dyDescent="0.25">
      <c r="A300" s="7"/>
    </row>
    <row r="301" spans="1:1" x14ac:dyDescent="0.25">
      <c r="A301" s="7"/>
    </row>
    <row r="302" spans="1:1" x14ac:dyDescent="0.25">
      <c r="A302" s="7"/>
    </row>
    <row r="303" spans="1:1" x14ac:dyDescent="0.25">
      <c r="A303" s="7"/>
    </row>
    <row r="304" spans="1:1" x14ac:dyDescent="0.25">
      <c r="A304" s="7"/>
    </row>
    <row r="305" spans="1:1" x14ac:dyDescent="0.25">
      <c r="A305" s="7"/>
    </row>
    <row r="306" spans="1:1" x14ac:dyDescent="0.25">
      <c r="A306" s="7"/>
    </row>
    <row r="307" spans="1:1" x14ac:dyDescent="0.25">
      <c r="A307" s="7"/>
    </row>
    <row r="308" spans="1:1" x14ac:dyDescent="0.25">
      <c r="A308" s="7"/>
    </row>
    <row r="309" spans="1:1" x14ac:dyDescent="0.25">
      <c r="A309" s="7"/>
    </row>
    <row r="310" spans="1:1" x14ac:dyDescent="0.25">
      <c r="A310" s="7"/>
    </row>
    <row r="311" spans="1:1" x14ac:dyDescent="0.25">
      <c r="A311" s="7"/>
    </row>
    <row r="312" spans="1:1" x14ac:dyDescent="0.25">
      <c r="A312" s="7"/>
    </row>
    <row r="313" spans="1:1" x14ac:dyDescent="0.25">
      <c r="A313" s="7"/>
    </row>
    <row r="314" spans="1:1" x14ac:dyDescent="0.25">
      <c r="A314" s="7"/>
    </row>
    <row r="315" spans="1:1" x14ac:dyDescent="0.25">
      <c r="A315" s="7"/>
    </row>
    <row r="316" spans="1:1" x14ac:dyDescent="0.25">
      <c r="A316" s="7"/>
    </row>
    <row r="317" spans="1:1" x14ac:dyDescent="0.25">
      <c r="A317" s="7"/>
    </row>
    <row r="318" spans="1:1" x14ac:dyDescent="0.25">
      <c r="A318" s="7"/>
    </row>
    <row r="319" spans="1:1" x14ac:dyDescent="0.25">
      <c r="A319" s="7"/>
    </row>
    <row r="320" spans="1:1" x14ac:dyDescent="0.25">
      <c r="A320" s="7"/>
    </row>
    <row r="321" spans="1:1" x14ac:dyDescent="0.25">
      <c r="A321" s="7"/>
    </row>
    <row r="322" spans="1:1" x14ac:dyDescent="0.25">
      <c r="A322" s="7"/>
    </row>
    <row r="323" spans="1:1" x14ac:dyDescent="0.25">
      <c r="A323" s="7"/>
    </row>
    <row r="324" spans="1:1" x14ac:dyDescent="0.25">
      <c r="A324" s="7"/>
    </row>
    <row r="325" spans="1:1" x14ac:dyDescent="0.25">
      <c r="A325" s="7"/>
    </row>
    <row r="326" spans="1:1" x14ac:dyDescent="0.25">
      <c r="A326" s="7"/>
    </row>
    <row r="327" spans="1:1" x14ac:dyDescent="0.25">
      <c r="A327" s="7"/>
    </row>
    <row r="328" spans="1:1" x14ac:dyDescent="0.25">
      <c r="A328" s="7"/>
    </row>
    <row r="329" spans="1:1" x14ac:dyDescent="0.25">
      <c r="A329" s="7"/>
    </row>
    <row r="330" spans="1:1" x14ac:dyDescent="0.25">
      <c r="A330" s="7"/>
    </row>
    <row r="331" spans="1:1" x14ac:dyDescent="0.25">
      <c r="A331" s="7"/>
    </row>
    <row r="332" spans="1:1" x14ac:dyDescent="0.25">
      <c r="A332" s="7"/>
    </row>
    <row r="333" spans="1:1" x14ac:dyDescent="0.25">
      <c r="A333" s="7"/>
    </row>
    <row r="334" spans="1:1" x14ac:dyDescent="0.25">
      <c r="A334" s="7"/>
    </row>
    <row r="335" spans="1:1" x14ac:dyDescent="0.25">
      <c r="A335" s="7"/>
    </row>
    <row r="336" spans="1:1" x14ac:dyDescent="0.25">
      <c r="A336" s="7"/>
    </row>
    <row r="337" spans="1:1" x14ac:dyDescent="0.25">
      <c r="A337" s="7"/>
    </row>
    <row r="338" spans="1:1" x14ac:dyDescent="0.25">
      <c r="A338" s="7"/>
    </row>
    <row r="339" spans="1:1" x14ac:dyDescent="0.25">
      <c r="A339" s="7"/>
    </row>
    <row r="340" spans="1:1" x14ac:dyDescent="0.25">
      <c r="A340" s="7"/>
    </row>
    <row r="341" spans="1:1" x14ac:dyDescent="0.25">
      <c r="A341" s="7"/>
    </row>
    <row r="342" spans="1:1" x14ac:dyDescent="0.25">
      <c r="A342" s="7"/>
    </row>
    <row r="343" spans="1:1" x14ac:dyDescent="0.25">
      <c r="A343" s="7"/>
    </row>
    <row r="344" spans="1:1" x14ac:dyDescent="0.25">
      <c r="A344" s="7"/>
    </row>
    <row r="345" spans="1:1" x14ac:dyDescent="0.25">
      <c r="A345" s="7"/>
    </row>
    <row r="346" spans="1:1" x14ac:dyDescent="0.25">
      <c r="A346" s="7"/>
    </row>
    <row r="347" spans="1:1" x14ac:dyDescent="0.25">
      <c r="A347" s="7"/>
    </row>
    <row r="348" spans="1:1" x14ac:dyDescent="0.25">
      <c r="A348" s="7"/>
    </row>
    <row r="349" spans="1:1" x14ac:dyDescent="0.25">
      <c r="A349" s="7"/>
    </row>
    <row r="350" spans="1:1" x14ac:dyDescent="0.25">
      <c r="A350" s="7"/>
    </row>
    <row r="351" spans="1:1" x14ac:dyDescent="0.25">
      <c r="A351" s="7"/>
    </row>
    <row r="352" spans="1:1" x14ac:dyDescent="0.25">
      <c r="A352" s="7"/>
    </row>
    <row r="353" spans="1:1" x14ac:dyDescent="0.25">
      <c r="A353" s="7"/>
    </row>
    <row r="354" spans="1:1" x14ac:dyDescent="0.25">
      <c r="A354" s="7"/>
    </row>
    <row r="355" spans="1:1" x14ac:dyDescent="0.25">
      <c r="A355" s="7"/>
    </row>
    <row r="356" spans="1:1" x14ac:dyDescent="0.25">
      <c r="A356" s="7"/>
    </row>
    <row r="357" spans="1:1" x14ac:dyDescent="0.25">
      <c r="A357" s="7"/>
    </row>
    <row r="358" spans="1:1" x14ac:dyDescent="0.25">
      <c r="A358" s="7"/>
    </row>
    <row r="359" spans="1:1" x14ac:dyDescent="0.25">
      <c r="A359" s="7"/>
    </row>
    <row r="360" spans="1:1" x14ac:dyDescent="0.25">
      <c r="A360" s="7"/>
    </row>
    <row r="361" spans="1:1" x14ac:dyDescent="0.25">
      <c r="A361" s="7"/>
    </row>
    <row r="362" spans="1:1" x14ac:dyDescent="0.25">
      <c r="A362" s="7"/>
    </row>
    <row r="363" spans="1:1" x14ac:dyDescent="0.25">
      <c r="A363" s="7"/>
    </row>
    <row r="364" spans="1:1" x14ac:dyDescent="0.25">
      <c r="A364" s="7"/>
    </row>
    <row r="365" spans="1:1" x14ac:dyDescent="0.25">
      <c r="A365" s="7"/>
    </row>
    <row r="366" spans="1:1" x14ac:dyDescent="0.25">
      <c r="A366" s="7"/>
    </row>
    <row r="367" spans="1:1" x14ac:dyDescent="0.25">
      <c r="A367" s="7"/>
    </row>
    <row r="368" spans="1:1" x14ac:dyDescent="0.25">
      <c r="A368" s="7"/>
    </row>
    <row r="369" spans="1:1" x14ac:dyDescent="0.25">
      <c r="A369" s="7"/>
    </row>
    <row r="370" spans="1:1" x14ac:dyDescent="0.25">
      <c r="A370" s="7"/>
    </row>
    <row r="371" spans="1:1" x14ac:dyDescent="0.25">
      <c r="A371" s="7"/>
    </row>
    <row r="372" spans="1:1" x14ac:dyDescent="0.25">
      <c r="A372" s="7"/>
    </row>
    <row r="373" spans="1:1" x14ac:dyDescent="0.25">
      <c r="A373" s="7"/>
    </row>
    <row r="374" spans="1:1" x14ac:dyDescent="0.25">
      <c r="A374" s="7"/>
    </row>
    <row r="375" spans="1:1" x14ac:dyDescent="0.25">
      <c r="A375" s="7"/>
    </row>
    <row r="376" spans="1:1" x14ac:dyDescent="0.25">
      <c r="A376" s="7"/>
    </row>
    <row r="377" spans="1:1" x14ac:dyDescent="0.25">
      <c r="A377" s="7"/>
    </row>
    <row r="378" spans="1:1" x14ac:dyDescent="0.25">
      <c r="A378" s="7"/>
    </row>
    <row r="379" spans="1:1" x14ac:dyDescent="0.25">
      <c r="A379" s="7"/>
    </row>
    <row r="380" spans="1:1" x14ac:dyDescent="0.25">
      <c r="A380" s="7"/>
    </row>
    <row r="381" spans="1:1" x14ac:dyDescent="0.25">
      <c r="A381" s="7"/>
    </row>
    <row r="382" spans="1:1" x14ac:dyDescent="0.25">
      <c r="A382" s="7"/>
    </row>
    <row r="383" spans="1:1" x14ac:dyDescent="0.25">
      <c r="A383" s="7"/>
    </row>
    <row r="384" spans="1:1" x14ac:dyDescent="0.25">
      <c r="A384" s="7"/>
    </row>
    <row r="385" spans="1:1" x14ac:dyDescent="0.25">
      <c r="A385" s="7"/>
    </row>
    <row r="386" spans="1:1" x14ac:dyDescent="0.25">
      <c r="A386" s="7"/>
    </row>
    <row r="387" spans="1:1" x14ac:dyDescent="0.25">
      <c r="A387" s="7"/>
    </row>
    <row r="388" spans="1:1" x14ac:dyDescent="0.25">
      <c r="A388" s="7"/>
    </row>
    <row r="389" spans="1:1" x14ac:dyDescent="0.25">
      <c r="A389" s="7"/>
    </row>
    <row r="390" spans="1:1" x14ac:dyDescent="0.25">
      <c r="A390" s="7"/>
    </row>
    <row r="391" spans="1:1" x14ac:dyDescent="0.25">
      <c r="A391" s="7"/>
    </row>
    <row r="392" spans="1:1" x14ac:dyDescent="0.25">
      <c r="A392" s="7"/>
    </row>
    <row r="393" spans="1:1" x14ac:dyDescent="0.25">
      <c r="A393" s="7"/>
    </row>
    <row r="394" spans="1:1" x14ac:dyDescent="0.25">
      <c r="A394" s="7"/>
    </row>
    <row r="395" spans="1:1" x14ac:dyDescent="0.25">
      <c r="A395" s="7"/>
    </row>
    <row r="396" spans="1:1" x14ac:dyDescent="0.25">
      <c r="A396" s="7"/>
    </row>
    <row r="397" spans="1:1" x14ac:dyDescent="0.25">
      <c r="A397" s="7"/>
    </row>
    <row r="398" spans="1:1" x14ac:dyDescent="0.25">
      <c r="A398" s="7"/>
    </row>
    <row r="399" spans="1:1" x14ac:dyDescent="0.25">
      <c r="A399" s="7"/>
    </row>
    <row r="400" spans="1:1" x14ac:dyDescent="0.25">
      <c r="A400" s="7"/>
    </row>
    <row r="401" spans="1:1" x14ac:dyDescent="0.25">
      <c r="A401" s="7"/>
    </row>
    <row r="402" spans="1:1" x14ac:dyDescent="0.25">
      <c r="A402" s="7"/>
    </row>
    <row r="403" spans="1:1" x14ac:dyDescent="0.25">
      <c r="A403" s="7"/>
    </row>
    <row r="404" spans="1:1" x14ac:dyDescent="0.25">
      <c r="A404" s="7"/>
    </row>
    <row r="405" spans="1:1" x14ac:dyDescent="0.25">
      <c r="A405" s="7"/>
    </row>
    <row r="406" spans="1:1" x14ac:dyDescent="0.25">
      <c r="A406" s="7"/>
    </row>
    <row r="407" spans="1:1" x14ac:dyDescent="0.25">
      <c r="A407" s="7"/>
    </row>
    <row r="408" spans="1:1" x14ac:dyDescent="0.25">
      <c r="A408" s="7"/>
    </row>
    <row r="409" spans="1:1" x14ac:dyDescent="0.25">
      <c r="A409" s="7"/>
    </row>
    <row r="410" spans="1:1" x14ac:dyDescent="0.25">
      <c r="A410" s="7"/>
    </row>
    <row r="411" spans="1:1" x14ac:dyDescent="0.25">
      <c r="A411" s="7"/>
    </row>
    <row r="412" spans="1:1" x14ac:dyDescent="0.25">
      <c r="A412" s="7"/>
    </row>
    <row r="413" spans="1:1" x14ac:dyDescent="0.25">
      <c r="A413" s="7"/>
    </row>
    <row r="414" spans="1:1" x14ac:dyDescent="0.25">
      <c r="A414" s="7"/>
    </row>
    <row r="415" spans="1:1" x14ac:dyDescent="0.25">
      <c r="A415" s="7"/>
    </row>
    <row r="416" spans="1:1" x14ac:dyDescent="0.25">
      <c r="A416" s="7"/>
    </row>
    <row r="417" spans="1:1" x14ac:dyDescent="0.25">
      <c r="A417" s="7"/>
    </row>
    <row r="418" spans="1:1" x14ac:dyDescent="0.25">
      <c r="A418" s="7"/>
    </row>
    <row r="419" spans="1:1" x14ac:dyDescent="0.25">
      <c r="A419" s="7"/>
    </row>
    <row r="420" spans="1:1" x14ac:dyDescent="0.25">
      <c r="A420" s="7"/>
    </row>
    <row r="421" spans="1:1" x14ac:dyDescent="0.25">
      <c r="A421" s="7"/>
    </row>
    <row r="422" spans="1:1" x14ac:dyDescent="0.25">
      <c r="A422" s="7"/>
    </row>
    <row r="423" spans="1:1" x14ac:dyDescent="0.25">
      <c r="A423" s="7"/>
    </row>
    <row r="424" spans="1:1" x14ac:dyDescent="0.25">
      <c r="A424" s="7"/>
    </row>
    <row r="425" spans="1:1" x14ac:dyDescent="0.25">
      <c r="A425" s="7"/>
    </row>
    <row r="426" spans="1:1" x14ac:dyDescent="0.25">
      <c r="A426" s="7"/>
    </row>
    <row r="427" spans="1:1" x14ac:dyDescent="0.25">
      <c r="A427" s="7"/>
    </row>
    <row r="428" spans="1:1" x14ac:dyDescent="0.25">
      <c r="A428" s="7"/>
    </row>
    <row r="429" spans="1:1" x14ac:dyDescent="0.25">
      <c r="A429" s="7"/>
    </row>
    <row r="430" spans="1:1" x14ac:dyDescent="0.25">
      <c r="A430" s="7"/>
    </row>
    <row r="431" spans="1:1" x14ac:dyDescent="0.25">
      <c r="A431" s="7"/>
    </row>
    <row r="432" spans="1:1" x14ac:dyDescent="0.25">
      <c r="A432" s="7"/>
    </row>
    <row r="433" spans="1:1" x14ac:dyDescent="0.25">
      <c r="A433" s="7"/>
    </row>
    <row r="434" spans="1:1" x14ac:dyDescent="0.25">
      <c r="A434" s="7"/>
    </row>
    <row r="435" spans="1:1" x14ac:dyDescent="0.25">
      <c r="A435" s="7"/>
    </row>
    <row r="436" spans="1:1" x14ac:dyDescent="0.25">
      <c r="A436" s="7"/>
    </row>
    <row r="437" spans="1:1" x14ac:dyDescent="0.25">
      <c r="A437" s="7"/>
    </row>
    <row r="438" spans="1:1" x14ac:dyDescent="0.25">
      <c r="A438" s="7"/>
    </row>
    <row r="439" spans="1:1" x14ac:dyDescent="0.25">
      <c r="A439" s="7"/>
    </row>
    <row r="440" spans="1:1" x14ac:dyDescent="0.25">
      <c r="A440" s="7"/>
    </row>
    <row r="441" spans="1:1" x14ac:dyDescent="0.25">
      <c r="A441" s="7"/>
    </row>
    <row r="442" spans="1:1" x14ac:dyDescent="0.25">
      <c r="A442" s="7"/>
    </row>
    <row r="443" spans="1:1" x14ac:dyDescent="0.25">
      <c r="A443" s="7"/>
    </row>
    <row r="444" spans="1:1" x14ac:dyDescent="0.25">
      <c r="A444" s="7"/>
    </row>
    <row r="445" spans="1:1" x14ac:dyDescent="0.25">
      <c r="A445" s="7"/>
    </row>
    <row r="446" spans="1:1" x14ac:dyDescent="0.25">
      <c r="A446" s="7"/>
    </row>
    <row r="447" spans="1:1" x14ac:dyDescent="0.25">
      <c r="A447" s="7"/>
    </row>
    <row r="448" spans="1:1" x14ac:dyDescent="0.25">
      <c r="A448" s="7"/>
    </row>
    <row r="449" spans="1:1" x14ac:dyDescent="0.25">
      <c r="A449" s="7"/>
    </row>
    <row r="450" spans="1:1" x14ac:dyDescent="0.25">
      <c r="A450" s="7"/>
    </row>
    <row r="451" spans="1:1" x14ac:dyDescent="0.25">
      <c r="A451" s="7"/>
    </row>
    <row r="452" spans="1:1" x14ac:dyDescent="0.25">
      <c r="A452" s="7"/>
    </row>
    <row r="453" spans="1:1" x14ac:dyDescent="0.25">
      <c r="A453" s="7"/>
    </row>
    <row r="454" spans="1:1" x14ac:dyDescent="0.25">
      <c r="A454" s="7"/>
    </row>
    <row r="455" spans="1:1" x14ac:dyDescent="0.25">
      <c r="A455" s="7"/>
    </row>
    <row r="456" spans="1:1" x14ac:dyDescent="0.25">
      <c r="A456" s="7"/>
    </row>
    <row r="457" spans="1:1" x14ac:dyDescent="0.25">
      <c r="A457" s="7"/>
    </row>
    <row r="458" spans="1:1" x14ac:dyDescent="0.25">
      <c r="A458" s="7"/>
    </row>
    <row r="459" spans="1:1" x14ac:dyDescent="0.25">
      <c r="A459" s="7"/>
    </row>
    <row r="460" spans="1:1" x14ac:dyDescent="0.25">
      <c r="A460" s="7"/>
    </row>
    <row r="461" spans="1:1" x14ac:dyDescent="0.25">
      <c r="A461" s="7"/>
    </row>
    <row r="462" spans="1:1" x14ac:dyDescent="0.25">
      <c r="A462" s="7"/>
    </row>
    <row r="463" spans="1:1" x14ac:dyDescent="0.25">
      <c r="A463" s="7"/>
    </row>
    <row r="464" spans="1:1" x14ac:dyDescent="0.25">
      <c r="A464" s="7"/>
    </row>
    <row r="465" spans="1:1" x14ac:dyDescent="0.25">
      <c r="A465" s="7"/>
    </row>
    <row r="466" spans="1:1" x14ac:dyDescent="0.25">
      <c r="A466" s="7"/>
    </row>
    <row r="467" spans="1:1" x14ac:dyDescent="0.25">
      <c r="A467" s="7"/>
    </row>
    <row r="468" spans="1:1" x14ac:dyDescent="0.25">
      <c r="A468" s="7"/>
    </row>
    <row r="469" spans="1:1" x14ac:dyDescent="0.25">
      <c r="A469" s="7"/>
    </row>
    <row r="470" spans="1:1" x14ac:dyDescent="0.25">
      <c r="A470" s="7"/>
    </row>
    <row r="471" spans="1:1" x14ac:dyDescent="0.25">
      <c r="A471" s="7"/>
    </row>
    <row r="472" spans="1:1" x14ac:dyDescent="0.25">
      <c r="A472" s="7"/>
    </row>
    <row r="473" spans="1:1" x14ac:dyDescent="0.25">
      <c r="A473" s="7"/>
    </row>
    <row r="474" spans="1:1" x14ac:dyDescent="0.25">
      <c r="A474" s="7"/>
    </row>
    <row r="475" spans="1:1" x14ac:dyDescent="0.25">
      <c r="A475" s="7"/>
    </row>
    <row r="476" spans="1:1" x14ac:dyDescent="0.25">
      <c r="A476" s="7"/>
    </row>
    <row r="477" spans="1:1" x14ac:dyDescent="0.25">
      <c r="A477" s="7"/>
    </row>
    <row r="478" spans="1:1" x14ac:dyDescent="0.25">
      <c r="A478" s="7"/>
    </row>
    <row r="479" spans="1:1" x14ac:dyDescent="0.25">
      <c r="A479" s="7"/>
    </row>
    <row r="480" spans="1:1" x14ac:dyDescent="0.25">
      <c r="A480" s="7"/>
    </row>
    <row r="481" spans="1:1" x14ac:dyDescent="0.25">
      <c r="A481" s="7"/>
    </row>
    <row r="482" spans="1:1" x14ac:dyDescent="0.25">
      <c r="A482" s="7"/>
    </row>
    <row r="483" spans="1:1" x14ac:dyDescent="0.25">
      <c r="A483" s="7"/>
    </row>
    <row r="484" spans="1:1" x14ac:dyDescent="0.25">
      <c r="A484" s="7"/>
    </row>
    <row r="485" spans="1:1" x14ac:dyDescent="0.25">
      <c r="A485" s="7"/>
    </row>
    <row r="486" spans="1:1" x14ac:dyDescent="0.25">
      <c r="A486" s="7"/>
    </row>
    <row r="487" spans="1:1" x14ac:dyDescent="0.25">
      <c r="A487" s="7"/>
    </row>
    <row r="488" spans="1:1" x14ac:dyDescent="0.25">
      <c r="A488" s="7"/>
    </row>
    <row r="489" spans="1:1" x14ac:dyDescent="0.25">
      <c r="A489" s="7"/>
    </row>
    <row r="490" spans="1:1" x14ac:dyDescent="0.25">
      <c r="A490" s="7"/>
    </row>
    <row r="491" spans="1:1" x14ac:dyDescent="0.25">
      <c r="A491" s="7"/>
    </row>
    <row r="492" spans="1:1" x14ac:dyDescent="0.25">
      <c r="A492" s="7"/>
    </row>
    <row r="493" spans="1:1" x14ac:dyDescent="0.25">
      <c r="A493" s="7"/>
    </row>
    <row r="494" spans="1:1" x14ac:dyDescent="0.25">
      <c r="A494" s="7"/>
    </row>
    <row r="495" spans="1:1" x14ac:dyDescent="0.25">
      <c r="A495" s="7"/>
    </row>
    <row r="496" spans="1:1" x14ac:dyDescent="0.25">
      <c r="A496" s="7"/>
    </row>
    <row r="497" spans="1:1" x14ac:dyDescent="0.25">
      <c r="A497" s="7"/>
    </row>
    <row r="498" spans="1:1" x14ac:dyDescent="0.25">
      <c r="A498" s="7"/>
    </row>
    <row r="499" spans="1:1" x14ac:dyDescent="0.25">
      <c r="A499" s="7"/>
    </row>
    <row r="500" spans="1:1" x14ac:dyDescent="0.25">
      <c r="A500" s="7"/>
    </row>
    <row r="501" spans="1:1" x14ac:dyDescent="0.25">
      <c r="A501" s="7"/>
    </row>
    <row r="502" spans="1:1" x14ac:dyDescent="0.25">
      <c r="A502" s="7"/>
    </row>
    <row r="503" spans="1:1" x14ac:dyDescent="0.25">
      <c r="A503" s="7"/>
    </row>
    <row r="504" spans="1:1" x14ac:dyDescent="0.25">
      <c r="A504" s="7"/>
    </row>
    <row r="505" spans="1:1" x14ac:dyDescent="0.25">
      <c r="A505" s="7"/>
    </row>
    <row r="506" spans="1:1" x14ac:dyDescent="0.25">
      <c r="A506" s="7"/>
    </row>
    <row r="507" spans="1:1" x14ac:dyDescent="0.25">
      <c r="A507" s="7"/>
    </row>
    <row r="508" spans="1:1" x14ac:dyDescent="0.25">
      <c r="A508" s="7"/>
    </row>
    <row r="509" spans="1:1" x14ac:dyDescent="0.25">
      <c r="A509" s="7"/>
    </row>
    <row r="510" spans="1:1" x14ac:dyDescent="0.25">
      <c r="A510" s="7"/>
    </row>
    <row r="511" spans="1:1" x14ac:dyDescent="0.25">
      <c r="A511" s="7"/>
    </row>
    <row r="512" spans="1:1" x14ac:dyDescent="0.25">
      <c r="A512" s="7"/>
    </row>
    <row r="513" spans="1:1" x14ac:dyDescent="0.25">
      <c r="A513" s="7"/>
    </row>
    <row r="514" spans="1:1" x14ac:dyDescent="0.25">
      <c r="A514" s="7"/>
    </row>
    <row r="515" spans="1:1" x14ac:dyDescent="0.25">
      <c r="A515" s="7"/>
    </row>
    <row r="516" spans="1:1" x14ac:dyDescent="0.25">
      <c r="A516" s="7"/>
    </row>
    <row r="517" spans="1:1" x14ac:dyDescent="0.25">
      <c r="A517" s="7"/>
    </row>
    <row r="518" spans="1:1" x14ac:dyDescent="0.25">
      <c r="A518" s="7"/>
    </row>
    <row r="519" spans="1:1" x14ac:dyDescent="0.25">
      <c r="A519" s="7"/>
    </row>
    <row r="520" spans="1:1" x14ac:dyDescent="0.25">
      <c r="A520" s="7"/>
    </row>
    <row r="521" spans="1:1" x14ac:dyDescent="0.25">
      <c r="A521" s="7"/>
    </row>
    <row r="522" spans="1:1" x14ac:dyDescent="0.25">
      <c r="A522" s="7"/>
    </row>
    <row r="523" spans="1:1" x14ac:dyDescent="0.25">
      <c r="A523" s="7"/>
    </row>
    <row r="524" spans="1:1" x14ac:dyDescent="0.25">
      <c r="A524" s="7"/>
    </row>
    <row r="525" spans="1:1" x14ac:dyDescent="0.25">
      <c r="A525" s="7"/>
    </row>
    <row r="526" spans="1:1" x14ac:dyDescent="0.25">
      <c r="A526" s="7"/>
    </row>
    <row r="527" spans="1:1" x14ac:dyDescent="0.25">
      <c r="A527" s="7"/>
    </row>
    <row r="528" spans="1:1" x14ac:dyDescent="0.25">
      <c r="A528" s="7"/>
    </row>
    <row r="529" spans="1:1" x14ac:dyDescent="0.25">
      <c r="A529" s="7"/>
    </row>
    <row r="530" spans="1:1" x14ac:dyDescent="0.25">
      <c r="A530" s="7"/>
    </row>
    <row r="531" spans="1:1" x14ac:dyDescent="0.25">
      <c r="A531" s="7"/>
    </row>
    <row r="532" spans="1:1" x14ac:dyDescent="0.25">
      <c r="A532" s="7"/>
    </row>
    <row r="533" spans="1:1" x14ac:dyDescent="0.25">
      <c r="A533" s="7"/>
    </row>
    <row r="534" spans="1:1" x14ac:dyDescent="0.25">
      <c r="A534" s="7"/>
    </row>
    <row r="535" spans="1:1" x14ac:dyDescent="0.25">
      <c r="A535" s="7"/>
    </row>
    <row r="536" spans="1:1" x14ac:dyDescent="0.25">
      <c r="A536" s="7"/>
    </row>
    <row r="537" spans="1:1" x14ac:dyDescent="0.25">
      <c r="A537" s="7"/>
    </row>
    <row r="538" spans="1:1" x14ac:dyDescent="0.25">
      <c r="A538" s="7"/>
    </row>
    <row r="539" spans="1:1" x14ac:dyDescent="0.25">
      <c r="A539" s="7"/>
    </row>
    <row r="540" spans="1:1" x14ac:dyDescent="0.25">
      <c r="A540" s="7"/>
    </row>
    <row r="541" spans="1:1" x14ac:dyDescent="0.25">
      <c r="A541" s="7"/>
    </row>
    <row r="542" spans="1:1" x14ac:dyDescent="0.25">
      <c r="A542" s="7"/>
    </row>
    <row r="543" spans="1:1" x14ac:dyDescent="0.25">
      <c r="A543" s="7"/>
    </row>
    <row r="544" spans="1:1" x14ac:dyDescent="0.25">
      <c r="A544" s="7"/>
    </row>
    <row r="545" spans="1:1" x14ac:dyDescent="0.25">
      <c r="A545" s="7"/>
    </row>
    <row r="546" spans="1:1" x14ac:dyDescent="0.25">
      <c r="A546" s="7"/>
    </row>
    <row r="547" spans="1:1" x14ac:dyDescent="0.25">
      <c r="A547" s="7"/>
    </row>
    <row r="548" spans="1:1" x14ac:dyDescent="0.25">
      <c r="A548" s="7"/>
    </row>
    <row r="549" spans="1:1" x14ac:dyDescent="0.25">
      <c r="A549" s="7"/>
    </row>
    <row r="550" spans="1:1" x14ac:dyDescent="0.25">
      <c r="A550" s="7"/>
    </row>
    <row r="551" spans="1:1" x14ac:dyDescent="0.25">
      <c r="A551" s="7"/>
    </row>
    <row r="552" spans="1:1" x14ac:dyDescent="0.25">
      <c r="A552" s="7"/>
    </row>
    <row r="553" spans="1:1" x14ac:dyDescent="0.25">
      <c r="A553" s="7"/>
    </row>
    <row r="554" spans="1:1" x14ac:dyDescent="0.25">
      <c r="A554" s="7"/>
    </row>
    <row r="555" spans="1:1" x14ac:dyDescent="0.25">
      <c r="A555" s="7"/>
    </row>
    <row r="556" spans="1:1" x14ac:dyDescent="0.25">
      <c r="A556" s="7"/>
    </row>
    <row r="557" spans="1:1" x14ac:dyDescent="0.25">
      <c r="A557" s="7"/>
    </row>
    <row r="558" spans="1:1" x14ac:dyDescent="0.25">
      <c r="A558" s="7"/>
    </row>
    <row r="559" spans="1:1" x14ac:dyDescent="0.25">
      <c r="A559" s="7"/>
    </row>
    <row r="560" spans="1:1" x14ac:dyDescent="0.25">
      <c r="A560" s="7"/>
    </row>
    <row r="561" spans="1:1" x14ac:dyDescent="0.25">
      <c r="A561" s="7"/>
    </row>
    <row r="562" spans="1:1" x14ac:dyDescent="0.25">
      <c r="A562" s="7"/>
    </row>
    <row r="563" spans="1:1" x14ac:dyDescent="0.25">
      <c r="A563" s="7"/>
    </row>
    <row r="564" spans="1:1" x14ac:dyDescent="0.25">
      <c r="A564" s="7"/>
    </row>
    <row r="565" spans="1:1" x14ac:dyDescent="0.25">
      <c r="A565" s="7"/>
    </row>
    <row r="566" spans="1:1" x14ac:dyDescent="0.25">
      <c r="A566" s="7"/>
    </row>
    <row r="567" spans="1:1" x14ac:dyDescent="0.25">
      <c r="A567" s="7"/>
    </row>
    <row r="568" spans="1:1" x14ac:dyDescent="0.25">
      <c r="A568" s="7"/>
    </row>
    <row r="569" spans="1:1" x14ac:dyDescent="0.25">
      <c r="A569" s="7"/>
    </row>
    <row r="570" spans="1:1" x14ac:dyDescent="0.25">
      <c r="A570" s="7"/>
    </row>
    <row r="571" spans="1:1" x14ac:dyDescent="0.25">
      <c r="A571" s="7"/>
    </row>
    <row r="572" spans="1:1" x14ac:dyDescent="0.25">
      <c r="A572" s="7"/>
    </row>
    <row r="573" spans="1:1" x14ac:dyDescent="0.25">
      <c r="A573" s="7"/>
    </row>
    <row r="574" spans="1:1" x14ac:dyDescent="0.25">
      <c r="A574" s="7"/>
    </row>
    <row r="575" spans="1:1" x14ac:dyDescent="0.25">
      <c r="A575" s="7"/>
    </row>
    <row r="576" spans="1:1" x14ac:dyDescent="0.25">
      <c r="A576" s="7"/>
    </row>
    <row r="577" spans="1:1" x14ac:dyDescent="0.25">
      <c r="A577" s="7"/>
    </row>
    <row r="578" spans="1:1" x14ac:dyDescent="0.25">
      <c r="A578" s="7"/>
    </row>
    <row r="579" spans="1:1" x14ac:dyDescent="0.25">
      <c r="A579" s="7"/>
    </row>
    <row r="580" spans="1:1" x14ac:dyDescent="0.25">
      <c r="A580" s="7"/>
    </row>
    <row r="581" spans="1:1" x14ac:dyDescent="0.25">
      <c r="A581" s="7"/>
    </row>
    <row r="582" spans="1:1" x14ac:dyDescent="0.25">
      <c r="A582" s="7"/>
    </row>
    <row r="583" spans="1:1" x14ac:dyDescent="0.25">
      <c r="A583" s="7"/>
    </row>
    <row r="584" spans="1:1" x14ac:dyDescent="0.25">
      <c r="A584" s="7"/>
    </row>
    <row r="585" spans="1:1" x14ac:dyDescent="0.25">
      <c r="A585" s="7"/>
    </row>
    <row r="586" spans="1:1" x14ac:dyDescent="0.25">
      <c r="A586" s="7"/>
    </row>
    <row r="587" spans="1:1" x14ac:dyDescent="0.25">
      <c r="A587" s="7"/>
    </row>
    <row r="588" spans="1:1" x14ac:dyDescent="0.25">
      <c r="A588" s="7"/>
    </row>
    <row r="589" spans="1:1" x14ac:dyDescent="0.25">
      <c r="A589" s="7"/>
    </row>
    <row r="590" spans="1:1" x14ac:dyDescent="0.25">
      <c r="A590" s="7"/>
    </row>
    <row r="591" spans="1:1" x14ac:dyDescent="0.25">
      <c r="A591" s="7"/>
    </row>
    <row r="592" spans="1:1" x14ac:dyDescent="0.25">
      <c r="A592" s="7"/>
    </row>
    <row r="593" spans="1:1" x14ac:dyDescent="0.25">
      <c r="A593" s="7"/>
    </row>
    <row r="594" spans="1:1" x14ac:dyDescent="0.25">
      <c r="A594" s="7"/>
    </row>
    <row r="595" spans="1:1" x14ac:dyDescent="0.25">
      <c r="A595" s="7"/>
    </row>
    <row r="596" spans="1:1" x14ac:dyDescent="0.25">
      <c r="A596" s="7"/>
    </row>
    <row r="597" spans="1:1" x14ac:dyDescent="0.25">
      <c r="A597" s="7"/>
    </row>
    <row r="598" spans="1:1" x14ac:dyDescent="0.25">
      <c r="A598" s="7"/>
    </row>
    <row r="599" spans="1:1" x14ac:dyDescent="0.25">
      <c r="A599" s="7"/>
    </row>
    <row r="600" spans="1:1" x14ac:dyDescent="0.25">
      <c r="A600" s="7"/>
    </row>
    <row r="601" spans="1:1" x14ac:dyDescent="0.25">
      <c r="A601" s="7"/>
    </row>
    <row r="602" spans="1:1" x14ac:dyDescent="0.25">
      <c r="A602" s="7"/>
    </row>
    <row r="603" spans="1:1" x14ac:dyDescent="0.25">
      <c r="A603" s="7"/>
    </row>
    <row r="604" spans="1:1" x14ac:dyDescent="0.25">
      <c r="A604" s="7"/>
    </row>
    <row r="605" spans="1:1" x14ac:dyDescent="0.25">
      <c r="A605" s="7"/>
    </row>
    <row r="606" spans="1:1" x14ac:dyDescent="0.25">
      <c r="A606" s="7"/>
    </row>
    <row r="607" spans="1:1" x14ac:dyDescent="0.25">
      <c r="A607" s="7"/>
    </row>
    <row r="608" spans="1:1" x14ac:dyDescent="0.25">
      <c r="A608" s="7"/>
    </row>
    <row r="609" spans="1:1" x14ac:dyDescent="0.25">
      <c r="A609" s="7"/>
    </row>
    <row r="610" spans="1:1" x14ac:dyDescent="0.25">
      <c r="A610" s="7"/>
    </row>
    <row r="611" spans="1:1" x14ac:dyDescent="0.25">
      <c r="A611" s="7"/>
    </row>
    <row r="612" spans="1:1" x14ac:dyDescent="0.25">
      <c r="A612" s="7"/>
    </row>
    <row r="613" spans="1:1" x14ac:dyDescent="0.25">
      <c r="A613" s="7"/>
    </row>
    <row r="614" spans="1:1" x14ac:dyDescent="0.25">
      <c r="A614" s="7"/>
    </row>
    <row r="615" spans="1:1" x14ac:dyDescent="0.25">
      <c r="A615" s="7"/>
    </row>
    <row r="616" spans="1:1" x14ac:dyDescent="0.25">
      <c r="A616" s="7"/>
    </row>
    <row r="617" spans="1:1" x14ac:dyDescent="0.25">
      <c r="A617" s="7"/>
    </row>
    <row r="618" spans="1:1" x14ac:dyDescent="0.25">
      <c r="A618" s="7"/>
    </row>
    <row r="619" spans="1:1" x14ac:dyDescent="0.25">
      <c r="A619" s="7"/>
    </row>
    <row r="620" spans="1:1" x14ac:dyDescent="0.25">
      <c r="A620" s="7"/>
    </row>
    <row r="621" spans="1:1" x14ac:dyDescent="0.25">
      <c r="A621" s="7"/>
    </row>
    <row r="622" spans="1:1" x14ac:dyDescent="0.25">
      <c r="A622" s="7"/>
    </row>
    <row r="623" spans="1:1" x14ac:dyDescent="0.25">
      <c r="A623" s="7"/>
    </row>
    <row r="624" spans="1:1" x14ac:dyDescent="0.25">
      <c r="A624" s="7"/>
    </row>
    <row r="625" spans="1:1" x14ac:dyDescent="0.25">
      <c r="A625" s="7"/>
    </row>
    <row r="626" spans="1:1" x14ac:dyDescent="0.25">
      <c r="A626" s="7"/>
    </row>
    <row r="627" spans="1:1" x14ac:dyDescent="0.25">
      <c r="A627" s="7"/>
    </row>
    <row r="628" spans="1:1" x14ac:dyDescent="0.25">
      <c r="A628" s="7"/>
    </row>
    <row r="629" spans="1:1" x14ac:dyDescent="0.25">
      <c r="A629" s="7"/>
    </row>
    <row r="630" spans="1:1" x14ac:dyDescent="0.25">
      <c r="A630" s="7"/>
    </row>
    <row r="631" spans="1:1" x14ac:dyDescent="0.25">
      <c r="A631" s="7"/>
    </row>
    <row r="632" spans="1:1" x14ac:dyDescent="0.25">
      <c r="A632" s="7"/>
    </row>
    <row r="633" spans="1:1" x14ac:dyDescent="0.25">
      <c r="A633" s="7"/>
    </row>
    <row r="634" spans="1:1" x14ac:dyDescent="0.25">
      <c r="A634" s="7"/>
    </row>
    <row r="635" spans="1:1" x14ac:dyDescent="0.25">
      <c r="A635" s="7"/>
    </row>
    <row r="636" spans="1:1" x14ac:dyDescent="0.25">
      <c r="A636" s="7"/>
    </row>
    <row r="637" spans="1:1" x14ac:dyDescent="0.25">
      <c r="A637" s="7"/>
    </row>
    <row r="638" spans="1:1" x14ac:dyDescent="0.25">
      <c r="A638" s="7"/>
    </row>
    <row r="639" spans="1:1" x14ac:dyDescent="0.25">
      <c r="A639" s="7"/>
    </row>
    <row r="640" spans="1:1" x14ac:dyDescent="0.25">
      <c r="A640" s="7"/>
    </row>
    <row r="641" spans="1:1" x14ac:dyDescent="0.25">
      <c r="A641" s="7"/>
    </row>
    <row r="642" spans="1:1" x14ac:dyDescent="0.25">
      <c r="A642" s="7"/>
    </row>
    <row r="643" spans="1:1" x14ac:dyDescent="0.25">
      <c r="A643" s="7"/>
    </row>
    <row r="644" spans="1:1" x14ac:dyDescent="0.25">
      <c r="A644" s="7"/>
    </row>
    <row r="645" spans="1:1" x14ac:dyDescent="0.25">
      <c r="A645" s="7"/>
    </row>
    <row r="646" spans="1:1" x14ac:dyDescent="0.25">
      <c r="A646" s="7"/>
    </row>
    <row r="647" spans="1:1" x14ac:dyDescent="0.25">
      <c r="A647" s="7"/>
    </row>
    <row r="648" spans="1:1" x14ac:dyDescent="0.25">
      <c r="A648" s="7"/>
    </row>
    <row r="649" spans="1:1" x14ac:dyDescent="0.25">
      <c r="A649" s="7"/>
    </row>
    <row r="650" spans="1:1" x14ac:dyDescent="0.25">
      <c r="A650" s="7"/>
    </row>
    <row r="651" spans="1:1" x14ac:dyDescent="0.25">
      <c r="A651" s="7"/>
    </row>
    <row r="652" spans="1:1" x14ac:dyDescent="0.25">
      <c r="A652" s="7"/>
    </row>
    <row r="653" spans="1:1" x14ac:dyDescent="0.25">
      <c r="A653" s="7"/>
    </row>
    <row r="654" spans="1:1" x14ac:dyDescent="0.25">
      <c r="A654" s="7"/>
    </row>
    <row r="655" spans="1:1" x14ac:dyDescent="0.25">
      <c r="A655" s="7"/>
    </row>
    <row r="656" spans="1:1" x14ac:dyDescent="0.25">
      <c r="A656" s="7"/>
    </row>
    <row r="657" spans="1:1" x14ac:dyDescent="0.25">
      <c r="A657" s="7"/>
    </row>
    <row r="658" spans="1:1" x14ac:dyDescent="0.25">
      <c r="A658" s="7"/>
    </row>
    <row r="659" spans="1:1" x14ac:dyDescent="0.25">
      <c r="A659" s="7"/>
    </row>
    <row r="660" spans="1:1" x14ac:dyDescent="0.25">
      <c r="A660" s="7"/>
    </row>
    <row r="661" spans="1:1" x14ac:dyDescent="0.25">
      <c r="A661" s="7"/>
    </row>
    <row r="662" spans="1:1" x14ac:dyDescent="0.25">
      <c r="A662" s="7"/>
    </row>
    <row r="663" spans="1:1" x14ac:dyDescent="0.25">
      <c r="A663" s="7"/>
    </row>
    <row r="664" spans="1:1" x14ac:dyDescent="0.25">
      <c r="A664" s="7"/>
    </row>
    <row r="665" spans="1:1" x14ac:dyDescent="0.25">
      <c r="A665" s="7"/>
    </row>
    <row r="666" spans="1:1" x14ac:dyDescent="0.25">
      <c r="A666" s="7"/>
    </row>
    <row r="667" spans="1:1" x14ac:dyDescent="0.25">
      <c r="A667" s="7"/>
    </row>
    <row r="668" spans="1:1" x14ac:dyDescent="0.25">
      <c r="A668" s="7"/>
    </row>
    <row r="669" spans="1:1" x14ac:dyDescent="0.25">
      <c r="A669" s="7"/>
    </row>
    <row r="670" spans="1:1" x14ac:dyDescent="0.25">
      <c r="A670" s="7"/>
    </row>
    <row r="671" spans="1:1" x14ac:dyDescent="0.25">
      <c r="A671" s="7"/>
    </row>
    <row r="672" spans="1:1" x14ac:dyDescent="0.25">
      <c r="A672" s="7"/>
    </row>
    <row r="673" spans="1:1" x14ac:dyDescent="0.25">
      <c r="A673" s="7"/>
    </row>
    <row r="674" spans="1:1" x14ac:dyDescent="0.25">
      <c r="A674" s="7"/>
    </row>
    <row r="675" spans="1:1" x14ac:dyDescent="0.25">
      <c r="A675" s="7"/>
    </row>
    <row r="676" spans="1:1" x14ac:dyDescent="0.25">
      <c r="A676" s="7"/>
    </row>
    <row r="677" spans="1:1" x14ac:dyDescent="0.25">
      <c r="A677" s="7"/>
    </row>
    <row r="678" spans="1:1" x14ac:dyDescent="0.25">
      <c r="A678" s="7"/>
    </row>
    <row r="679" spans="1:1" x14ac:dyDescent="0.25">
      <c r="A679" s="7"/>
    </row>
    <row r="680" spans="1:1" x14ac:dyDescent="0.25">
      <c r="A680" s="7"/>
    </row>
    <row r="681" spans="1:1" x14ac:dyDescent="0.25">
      <c r="A681" s="7"/>
    </row>
    <row r="682" spans="1:1" x14ac:dyDescent="0.25">
      <c r="A682" s="7"/>
    </row>
    <row r="683" spans="1:1" x14ac:dyDescent="0.25">
      <c r="A683" s="7"/>
    </row>
    <row r="684" spans="1:1" x14ac:dyDescent="0.25">
      <c r="A684" s="7"/>
    </row>
    <row r="685" spans="1:1" x14ac:dyDescent="0.25">
      <c r="A685" s="7"/>
    </row>
    <row r="686" spans="1:1" x14ac:dyDescent="0.25">
      <c r="A686" s="7"/>
    </row>
    <row r="687" spans="1:1" x14ac:dyDescent="0.25">
      <c r="A687" s="7"/>
    </row>
    <row r="688" spans="1:1" x14ac:dyDescent="0.25">
      <c r="A688" s="7"/>
    </row>
    <row r="689" spans="1:1" x14ac:dyDescent="0.25">
      <c r="A689" s="7"/>
    </row>
    <row r="690" spans="1:1" x14ac:dyDescent="0.25">
      <c r="A690" s="7"/>
    </row>
    <row r="691" spans="1:1" x14ac:dyDescent="0.25">
      <c r="A691" s="7"/>
    </row>
    <row r="692" spans="1:1" x14ac:dyDescent="0.25">
      <c r="A692" s="7"/>
    </row>
    <row r="693" spans="1:1" x14ac:dyDescent="0.25">
      <c r="A693" s="7"/>
    </row>
    <row r="694" spans="1:1" x14ac:dyDescent="0.25">
      <c r="A694" s="7"/>
    </row>
    <row r="695" spans="1:1" x14ac:dyDescent="0.25">
      <c r="A695" s="7"/>
    </row>
    <row r="696" spans="1:1" x14ac:dyDescent="0.25">
      <c r="A696" s="7"/>
    </row>
    <row r="697" spans="1:1" x14ac:dyDescent="0.25">
      <c r="A697" s="7"/>
    </row>
    <row r="698" spans="1:1" x14ac:dyDescent="0.25">
      <c r="A698" s="7"/>
    </row>
    <row r="699" spans="1:1" x14ac:dyDescent="0.25">
      <c r="A699" s="7"/>
    </row>
    <row r="700" spans="1:1" x14ac:dyDescent="0.25">
      <c r="A700" s="7"/>
    </row>
    <row r="701" spans="1:1" x14ac:dyDescent="0.25">
      <c r="A701" s="7"/>
    </row>
    <row r="702" spans="1:1" x14ac:dyDescent="0.25">
      <c r="A702" s="7"/>
    </row>
    <row r="703" spans="1:1" x14ac:dyDescent="0.25">
      <c r="A703" s="7"/>
    </row>
    <row r="704" spans="1:1" x14ac:dyDescent="0.25">
      <c r="A704" s="7"/>
    </row>
    <row r="705" spans="1:1" x14ac:dyDescent="0.25">
      <c r="A705" s="7"/>
    </row>
    <row r="706" spans="1:1" x14ac:dyDescent="0.25">
      <c r="A706" s="7"/>
    </row>
    <row r="707" spans="1:1" x14ac:dyDescent="0.25">
      <c r="A707" s="7"/>
    </row>
    <row r="708" spans="1:1" x14ac:dyDescent="0.25">
      <c r="A708" s="7"/>
    </row>
    <row r="709" spans="1:1" x14ac:dyDescent="0.25">
      <c r="A709" s="7"/>
    </row>
    <row r="710" spans="1:1" x14ac:dyDescent="0.25">
      <c r="A710" s="7"/>
    </row>
    <row r="711" spans="1:1" x14ac:dyDescent="0.25">
      <c r="A711" s="7"/>
    </row>
    <row r="712" spans="1:1" x14ac:dyDescent="0.25">
      <c r="A712" s="7"/>
    </row>
    <row r="713" spans="1:1" x14ac:dyDescent="0.25">
      <c r="A713" s="7"/>
    </row>
    <row r="714" spans="1:1" x14ac:dyDescent="0.25">
      <c r="A714" s="7"/>
    </row>
    <row r="715" spans="1:1" x14ac:dyDescent="0.25">
      <c r="A715" s="7"/>
    </row>
    <row r="716" spans="1:1" x14ac:dyDescent="0.25">
      <c r="A716" s="7"/>
    </row>
    <row r="717" spans="1:1" x14ac:dyDescent="0.25">
      <c r="A717" s="7"/>
    </row>
    <row r="718" spans="1:1" x14ac:dyDescent="0.25">
      <c r="A718" s="7"/>
    </row>
    <row r="719" spans="1:1" x14ac:dyDescent="0.25">
      <c r="A719" s="7"/>
    </row>
    <row r="720" spans="1:1" x14ac:dyDescent="0.25">
      <c r="A720" s="7"/>
    </row>
    <row r="721" spans="1:1" x14ac:dyDescent="0.25">
      <c r="A721" s="7"/>
    </row>
    <row r="722" spans="1:1" x14ac:dyDescent="0.25">
      <c r="A722" s="7"/>
    </row>
    <row r="723" spans="1:1" x14ac:dyDescent="0.25">
      <c r="A723" s="7"/>
    </row>
    <row r="724" spans="1:1" x14ac:dyDescent="0.25">
      <c r="A724" s="7"/>
    </row>
    <row r="725" spans="1:1" x14ac:dyDescent="0.25">
      <c r="A725" s="7"/>
    </row>
    <row r="726" spans="1:1" x14ac:dyDescent="0.25">
      <c r="A726" s="7"/>
    </row>
    <row r="727" spans="1:1" x14ac:dyDescent="0.25">
      <c r="A727" s="7"/>
    </row>
    <row r="728" spans="1:1" x14ac:dyDescent="0.25">
      <c r="A728" s="7"/>
    </row>
    <row r="729" spans="1:1" x14ac:dyDescent="0.25">
      <c r="A729" s="7"/>
    </row>
    <row r="730" spans="1:1" x14ac:dyDescent="0.25">
      <c r="A730" s="7"/>
    </row>
    <row r="731" spans="1:1" x14ac:dyDescent="0.25">
      <c r="A731" s="7"/>
    </row>
    <row r="732" spans="1:1" x14ac:dyDescent="0.25">
      <c r="A732" s="7"/>
    </row>
    <row r="733" spans="1:1" x14ac:dyDescent="0.25">
      <c r="A733" s="7"/>
    </row>
    <row r="734" spans="1:1" x14ac:dyDescent="0.25">
      <c r="A734" s="7"/>
    </row>
    <row r="735" spans="1:1" x14ac:dyDescent="0.25">
      <c r="A735" s="7"/>
    </row>
    <row r="736" spans="1:1" x14ac:dyDescent="0.25">
      <c r="A736" s="7"/>
    </row>
    <row r="737" spans="1:1" x14ac:dyDescent="0.25">
      <c r="A737" s="7"/>
    </row>
    <row r="738" spans="1:1" x14ac:dyDescent="0.25">
      <c r="A738" s="7"/>
    </row>
    <row r="739" spans="1:1" x14ac:dyDescent="0.25">
      <c r="A739" s="7"/>
    </row>
    <row r="740" spans="1:1" x14ac:dyDescent="0.25">
      <c r="A740" s="7"/>
    </row>
    <row r="741" spans="1:1" x14ac:dyDescent="0.25">
      <c r="A741" s="7"/>
    </row>
    <row r="742" spans="1:1" x14ac:dyDescent="0.25">
      <c r="A742" s="7"/>
    </row>
    <row r="743" spans="1:1" x14ac:dyDescent="0.25">
      <c r="A743" s="7"/>
    </row>
    <row r="744" spans="1:1" x14ac:dyDescent="0.25">
      <c r="A744" s="7"/>
    </row>
    <row r="745" spans="1:1" x14ac:dyDescent="0.25">
      <c r="A745" s="7"/>
    </row>
    <row r="746" spans="1:1" x14ac:dyDescent="0.25">
      <c r="A746" s="7"/>
    </row>
    <row r="747" spans="1:1" x14ac:dyDescent="0.25">
      <c r="A747" s="7"/>
    </row>
    <row r="748" spans="1:1" x14ac:dyDescent="0.25">
      <c r="A748" s="7"/>
    </row>
    <row r="749" spans="1:1" x14ac:dyDescent="0.25">
      <c r="A749" s="7"/>
    </row>
    <row r="750" spans="1:1" x14ac:dyDescent="0.25">
      <c r="A750" s="7"/>
    </row>
    <row r="751" spans="1:1" x14ac:dyDescent="0.25">
      <c r="A751" s="7"/>
    </row>
    <row r="752" spans="1:1" x14ac:dyDescent="0.25">
      <c r="A752" s="7"/>
    </row>
    <row r="753" spans="1:1" x14ac:dyDescent="0.25">
      <c r="A753" s="7"/>
    </row>
    <row r="754" spans="1:1" x14ac:dyDescent="0.25">
      <c r="A754" s="7"/>
    </row>
    <row r="755" spans="1:1" x14ac:dyDescent="0.25">
      <c r="A755" s="7"/>
    </row>
    <row r="756" spans="1:1" x14ac:dyDescent="0.25">
      <c r="A756" s="7"/>
    </row>
    <row r="757" spans="1:1" x14ac:dyDescent="0.25">
      <c r="A757" s="7"/>
    </row>
    <row r="758" spans="1:1" x14ac:dyDescent="0.25">
      <c r="A758" s="7"/>
    </row>
    <row r="759" spans="1:1" x14ac:dyDescent="0.25">
      <c r="A759" s="7"/>
    </row>
    <row r="760" spans="1:1" x14ac:dyDescent="0.25">
      <c r="A760" s="7"/>
    </row>
    <row r="761" spans="1:1" x14ac:dyDescent="0.25">
      <c r="A761" s="7"/>
    </row>
    <row r="762" spans="1:1" x14ac:dyDescent="0.25">
      <c r="A762" s="7"/>
    </row>
    <row r="763" spans="1:1" x14ac:dyDescent="0.25">
      <c r="A763" s="7"/>
    </row>
    <row r="764" spans="1:1" x14ac:dyDescent="0.25">
      <c r="A764" s="7"/>
    </row>
    <row r="765" spans="1:1" x14ac:dyDescent="0.25">
      <c r="A765" s="7"/>
    </row>
    <row r="766" spans="1:1" x14ac:dyDescent="0.25">
      <c r="A766" s="7"/>
    </row>
    <row r="767" spans="1:1" x14ac:dyDescent="0.25">
      <c r="A767" s="7"/>
    </row>
    <row r="768" spans="1:1" x14ac:dyDescent="0.25">
      <c r="A768" s="7"/>
    </row>
    <row r="769" spans="1:1" x14ac:dyDescent="0.25">
      <c r="A769" s="7"/>
    </row>
    <row r="770" spans="1:1" x14ac:dyDescent="0.25">
      <c r="A770" s="7"/>
    </row>
    <row r="771" spans="1:1" x14ac:dyDescent="0.25">
      <c r="A771" s="7"/>
    </row>
    <row r="772" spans="1:1" x14ac:dyDescent="0.25">
      <c r="A772" s="7"/>
    </row>
    <row r="773" spans="1:1" x14ac:dyDescent="0.25">
      <c r="A773" s="7"/>
    </row>
    <row r="774" spans="1:1" x14ac:dyDescent="0.25">
      <c r="A774" s="7"/>
    </row>
    <row r="775" spans="1:1" x14ac:dyDescent="0.25">
      <c r="A775" s="7"/>
    </row>
    <row r="776" spans="1:1" x14ac:dyDescent="0.25">
      <c r="A776" s="7"/>
    </row>
    <row r="777" spans="1:1" x14ac:dyDescent="0.25">
      <c r="A777" s="7"/>
    </row>
    <row r="778" spans="1:1" x14ac:dyDescent="0.25">
      <c r="A778" s="7"/>
    </row>
    <row r="779" spans="1:1" x14ac:dyDescent="0.25">
      <c r="A779" s="7"/>
    </row>
    <row r="780" spans="1:1" x14ac:dyDescent="0.25">
      <c r="A780" s="7"/>
    </row>
    <row r="781" spans="1:1" x14ac:dyDescent="0.25">
      <c r="A781" s="7"/>
    </row>
    <row r="782" spans="1:1" x14ac:dyDescent="0.25">
      <c r="A782" s="7"/>
    </row>
    <row r="783" spans="1:1" x14ac:dyDescent="0.25">
      <c r="A783" s="7"/>
    </row>
    <row r="784" spans="1:1" x14ac:dyDescent="0.25">
      <c r="A784" s="7"/>
    </row>
    <row r="785" spans="1:1" x14ac:dyDescent="0.25">
      <c r="A785" s="7"/>
    </row>
    <row r="786" spans="1:1" x14ac:dyDescent="0.25">
      <c r="A786" s="7"/>
    </row>
    <row r="787" spans="1:1" x14ac:dyDescent="0.25">
      <c r="A787" s="7"/>
    </row>
    <row r="788" spans="1:1" x14ac:dyDescent="0.25">
      <c r="A788" s="7"/>
    </row>
    <row r="789" spans="1:1" x14ac:dyDescent="0.25">
      <c r="A789" s="7"/>
    </row>
    <row r="790" spans="1:1" x14ac:dyDescent="0.25">
      <c r="A790" s="7"/>
    </row>
    <row r="791" spans="1:1" x14ac:dyDescent="0.25">
      <c r="A791" s="7"/>
    </row>
    <row r="792" spans="1:1" x14ac:dyDescent="0.25">
      <c r="A792" s="7"/>
    </row>
    <row r="793" spans="1:1" x14ac:dyDescent="0.25">
      <c r="A793" s="7"/>
    </row>
    <row r="794" spans="1:1" x14ac:dyDescent="0.25">
      <c r="A794" s="7"/>
    </row>
    <row r="795" spans="1:1" x14ac:dyDescent="0.25">
      <c r="A795" s="7"/>
    </row>
    <row r="796" spans="1:1" x14ac:dyDescent="0.25">
      <c r="A796" s="7"/>
    </row>
    <row r="797" spans="1:1" x14ac:dyDescent="0.25">
      <c r="A797" s="7"/>
    </row>
    <row r="798" spans="1:1" x14ac:dyDescent="0.25">
      <c r="A798" s="7"/>
    </row>
    <row r="799" spans="1:1" x14ac:dyDescent="0.25">
      <c r="A799" s="7"/>
    </row>
    <row r="800" spans="1:1" x14ac:dyDescent="0.25">
      <c r="A800" s="7"/>
    </row>
    <row r="801" spans="1:1" x14ac:dyDescent="0.25">
      <c r="A801" s="7"/>
    </row>
    <row r="802" spans="1:1" x14ac:dyDescent="0.25">
      <c r="A802" s="7"/>
    </row>
    <row r="803" spans="1:1" x14ac:dyDescent="0.25">
      <c r="A803" s="7"/>
    </row>
    <row r="804" spans="1:1" x14ac:dyDescent="0.25">
      <c r="A804" s="7"/>
    </row>
    <row r="805" spans="1:1" x14ac:dyDescent="0.25">
      <c r="A805" s="7"/>
    </row>
    <row r="806" spans="1:1" x14ac:dyDescent="0.25">
      <c r="A806" s="7"/>
    </row>
    <row r="807" spans="1:1" x14ac:dyDescent="0.25">
      <c r="A807" s="7"/>
    </row>
    <row r="808" spans="1:1" x14ac:dyDescent="0.25">
      <c r="A808" s="7"/>
    </row>
    <row r="809" spans="1:1" x14ac:dyDescent="0.25">
      <c r="A809" s="7"/>
    </row>
    <row r="810" spans="1:1" x14ac:dyDescent="0.25">
      <c r="A810" s="7"/>
    </row>
    <row r="811" spans="1:1" x14ac:dyDescent="0.25">
      <c r="A811" s="7"/>
    </row>
    <row r="812" spans="1:1" x14ac:dyDescent="0.25">
      <c r="A812" s="7"/>
    </row>
    <row r="813" spans="1:1" x14ac:dyDescent="0.25">
      <c r="A813" s="7"/>
    </row>
    <row r="814" spans="1:1" x14ac:dyDescent="0.25">
      <c r="A814" s="7"/>
    </row>
    <row r="815" spans="1:1" x14ac:dyDescent="0.25">
      <c r="A815" s="7"/>
    </row>
    <row r="816" spans="1:1" x14ac:dyDescent="0.25">
      <c r="A816" s="7"/>
    </row>
    <row r="817" spans="1:1" x14ac:dyDescent="0.25">
      <c r="A817" s="7"/>
    </row>
    <row r="818" spans="1:1" x14ac:dyDescent="0.25">
      <c r="A818" s="7"/>
    </row>
    <row r="819" spans="1:1" x14ac:dyDescent="0.25">
      <c r="A819" s="7"/>
    </row>
    <row r="820" spans="1:1" x14ac:dyDescent="0.25">
      <c r="A820" s="7"/>
    </row>
    <row r="821" spans="1:1" x14ac:dyDescent="0.25">
      <c r="A821" s="7"/>
    </row>
    <row r="822" spans="1:1" x14ac:dyDescent="0.25">
      <c r="A822" s="7"/>
    </row>
    <row r="823" spans="1:1" x14ac:dyDescent="0.25">
      <c r="A823" s="7"/>
    </row>
    <row r="824" spans="1:1" x14ac:dyDescent="0.25">
      <c r="A824" s="7"/>
    </row>
    <row r="825" spans="1:1" x14ac:dyDescent="0.25">
      <c r="A825" s="7"/>
    </row>
    <row r="826" spans="1:1" x14ac:dyDescent="0.25">
      <c r="A826" s="7"/>
    </row>
    <row r="827" spans="1:1" x14ac:dyDescent="0.25">
      <c r="A827" s="7"/>
    </row>
    <row r="828" spans="1:1" x14ac:dyDescent="0.25">
      <c r="A828" s="7"/>
    </row>
    <row r="829" spans="1:1" x14ac:dyDescent="0.25">
      <c r="A829" s="7"/>
    </row>
    <row r="830" spans="1:1" x14ac:dyDescent="0.25">
      <c r="A830" s="7"/>
    </row>
    <row r="831" spans="1:1" x14ac:dyDescent="0.25">
      <c r="A831" s="7"/>
    </row>
    <row r="832" spans="1:1" x14ac:dyDescent="0.25">
      <c r="A832" s="7"/>
    </row>
    <row r="833" spans="1:1" x14ac:dyDescent="0.25">
      <c r="A833" s="7"/>
    </row>
    <row r="834" spans="1:1" x14ac:dyDescent="0.25">
      <c r="A834" s="7"/>
    </row>
    <row r="835" spans="1:1" x14ac:dyDescent="0.25">
      <c r="A835" s="7"/>
    </row>
    <row r="836" spans="1:1" x14ac:dyDescent="0.25">
      <c r="A836" s="7"/>
    </row>
    <row r="837" spans="1:1" x14ac:dyDescent="0.25">
      <c r="A837" s="7"/>
    </row>
    <row r="838" spans="1:1" x14ac:dyDescent="0.25">
      <c r="A838" s="7"/>
    </row>
    <row r="839" spans="1:1" x14ac:dyDescent="0.25">
      <c r="A839" s="7"/>
    </row>
    <row r="840" spans="1:1" x14ac:dyDescent="0.25">
      <c r="A840" s="7"/>
    </row>
    <row r="841" spans="1:1" x14ac:dyDescent="0.25">
      <c r="A841" s="7"/>
    </row>
    <row r="842" spans="1:1" x14ac:dyDescent="0.25">
      <c r="A842" s="7"/>
    </row>
    <row r="843" spans="1:1" x14ac:dyDescent="0.25">
      <c r="A843" s="7"/>
    </row>
    <row r="844" spans="1:1" x14ac:dyDescent="0.25">
      <c r="A844" s="7"/>
    </row>
    <row r="845" spans="1:1" x14ac:dyDescent="0.25">
      <c r="A845" s="7"/>
    </row>
    <row r="846" spans="1:1" x14ac:dyDescent="0.25">
      <c r="A846" s="7"/>
    </row>
    <row r="847" spans="1:1" x14ac:dyDescent="0.25">
      <c r="A847" s="7"/>
    </row>
    <row r="848" spans="1:1" x14ac:dyDescent="0.25">
      <c r="A848" s="7"/>
    </row>
    <row r="849" spans="1:1" x14ac:dyDescent="0.25">
      <c r="A849" s="7"/>
    </row>
    <row r="850" spans="1:1" x14ac:dyDescent="0.25">
      <c r="A850" s="7"/>
    </row>
    <row r="851" spans="1:1" x14ac:dyDescent="0.25">
      <c r="A851" s="7"/>
    </row>
    <row r="852" spans="1:1" x14ac:dyDescent="0.25">
      <c r="A852" s="7"/>
    </row>
    <row r="853" spans="1:1" x14ac:dyDescent="0.25">
      <c r="A853" s="7"/>
    </row>
    <row r="854" spans="1:1" x14ac:dyDescent="0.25">
      <c r="A854" s="7"/>
    </row>
    <row r="855" spans="1:1" x14ac:dyDescent="0.25">
      <c r="A855" s="7"/>
    </row>
    <row r="856" spans="1:1" x14ac:dyDescent="0.25">
      <c r="A856" s="7"/>
    </row>
    <row r="857" spans="1:1" x14ac:dyDescent="0.25">
      <c r="A857" s="7"/>
    </row>
    <row r="858" spans="1:1" x14ac:dyDescent="0.25">
      <c r="A858" s="7"/>
    </row>
    <row r="859" spans="1:1" x14ac:dyDescent="0.25">
      <c r="A859" s="7"/>
    </row>
    <row r="860" spans="1:1" x14ac:dyDescent="0.25">
      <c r="A860" s="7"/>
    </row>
    <row r="861" spans="1:1" x14ac:dyDescent="0.25">
      <c r="A861" s="7"/>
    </row>
    <row r="862" spans="1:1" x14ac:dyDescent="0.25">
      <c r="A862" s="7"/>
    </row>
    <row r="863" spans="1:1" x14ac:dyDescent="0.25">
      <c r="A863" s="7"/>
    </row>
    <row r="864" spans="1:1" x14ac:dyDescent="0.25">
      <c r="A864" s="7"/>
    </row>
    <row r="865" spans="1:1" x14ac:dyDescent="0.25">
      <c r="A865" s="7"/>
    </row>
    <row r="866" spans="1:1" x14ac:dyDescent="0.25">
      <c r="A866" s="7"/>
    </row>
    <row r="867" spans="1:1" x14ac:dyDescent="0.25">
      <c r="A867" s="7"/>
    </row>
    <row r="868" spans="1:1" x14ac:dyDescent="0.25">
      <c r="A868" s="7"/>
    </row>
    <row r="869" spans="1:1" x14ac:dyDescent="0.25">
      <c r="A869" s="7"/>
    </row>
    <row r="870" spans="1:1" x14ac:dyDescent="0.25">
      <c r="A870" s="7"/>
    </row>
    <row r="871" spans="1:1" x14ac:dyDescent="0.25">
      <c r="A871" s="7"/>
    </row>
    <row r="872" spans="1:1" x14ac:dyDescent="0.25">
      <c r="A872" s="7"/>
    </row>
    <row r="873" spans="1:1" x14ac:dyDescent="0.25">
      <c r="A873" s="7"/>
    </row>
    <row r="874" spans="1:1" x14ac:dyDescent="0.25">
      <c r="A874" s="7"/>
    </row>
    <row r="875" spans="1:1" x14ac:dyDescent="0.25">
      <c r="A875" s="7"/>
    </row>
    <row r="876" spans="1:1" x14ac:dyDescent="0.25">
      <c r="A876" s="7"/>
    </row>
    <row r="877" spans="1:1" x14ac:dyDescent="0.25">
      <c r="A877" s="7"/>
    </row>
    <row r="878" spans="1:1" x14ac:dyDescent="0.25">
      <c r="A878" s="7"/>
    </row>
    <row r="879" spans="1:1" x14ac:dyDescent="0.25">
      <c r="A879" s="7"/>
    </row>
    <row r="880" spans="1:1" x14ac:dyDescent="0.25">
      <c r="A880" s="7"/>
    </row>
    <row r="881" spans="1:1" x14ac:dyDescent="0.25">
      <c r="A881" s="7"/>
    </row>
    <row r="882" spans="1:1" x14ac:dyDescent="0.25">
      <c r="A882" s="7"/>
    </row>
    <row r="883" spans="1:1" x14ac:dyDescent="0.25">
      <c r="A883" s="7"/>
    </row>
    <row r="884" spans="1:1" x14ac:dyDescent="0.25">
      <c r="A884" s="7"/>
    </row>
    <row r="885" spans="1:1" x14ac:dyDescent="0.25">
      <c r="A885" s="7"/>
    </row>
    <row r="886" spans="1:1" x14ac:dyDescent="0.25">
      <c r="A886" s="7"/>
    </row>
    <row r="887" spans="1:1" x14ac:dyDescent="0.25">
      <c r="A887" s="7"/>
    </row>
    <row r="888" spans="1:1" x14ac:dyDescent="0.25">
      <c r="A888" s="7"/>
    </row>
    <row r="889" spans="1:1" x14ac:dyDescent="0.25">
      <c r="A889" s="7"/>
    </row>
    <row r="890" spans="1:1" x14ac:dyDescent="0.25">
      <c r="A890" s="7"/>
    </row>
    <row r="891" spans="1:1" x14ac:dyDescent="0.25">
      <c r="A891" s="7"/>
    </row>
    <row r="892" spans="1:1" x14ac:dyDescent="0.25">
      <c r="A892" s="7"/>
    </row>
    <row r="893" spans="1:1" x14ac:dyDescent="0.25">
      <c r="A893" s="7"/>
    </row>
    <row r="894" spans="1:1" x14ac:dyDescent="0.25">
      <c r="A894" s="7"/>
    </row>
    <row r="895" spans="1:1" x14ac:dyDescent="0.25">
      <c r="A895" s="7"/>
    </row>
    <row r="896" spans="1:1" x14ac:dyDescent="0.25">
      <c r="A896" s="7"/>
    </row>
    <row r="897" spans="1:1" x14ac:dyDescent="0.25">
      <c r="A897" s="7"/>
    </row>
    <row r="898" spans="1:1" x14ac:dyDescent="0.25">
      <c r="A898" s="7"/>
    </row>
    <row r="899" spans="1:1" x14ac:dyDescent="0.25">
      <c r="A899" s="7"/>
    </row>
    <row r="900" spans="1:1" x14ac:dyDescent="0.25">
      <c r="A900" s="7"/>
    </row>
    <row r="901" spans="1:1" x14ac:dyDescent="0.25">
      <c r="A901" s="7"/>
    </row>
    <row r="902" spans="1:1" x14ac:dyDescent="0.25">
      <c r="A902" s="7"/>
    </row>
    <row r="903" spans="1:1" x14ac:dyDescent="0.25">
      <c r="A903" s="7"/>
    </row>
    <row r="904" spans="1:1" x14ac:dyDescent="0.25">
      <c r="A904" s="7"/>
    </row>
    <row r="905" spans="1:1" x14ac:dyDescent="0.25">
      <c r="A905" s="7"/>
    </row>
    <row r="906" spans="1:1" x14ac:dyDescent="0.25">
      <c r="A906" s="7"/>
    </row>
    <row r="907" spans="1:1" x14ac:dyDescent="0.25">
      <c r="A907" s="7"/>
    </row>
    <row r="908" spans="1:1" x14ac:dyDescent="0.25">
      <c r="A908" s="7"/>
    </row>
    <row r="909" spans="1:1" x14ac:dyDescent="0.25">
      <c r="A909" s="7"/>
    </row>
    <row r="910" spans="1:1" x14ac:dyDescent="0.25">
      <c r="A910" s="7"/>
    </row>
    <row r="911" spans="1:1" x14ac:dyDescent="0.25">
      <c r="A911" s="7"/>
    </row>
    <row r="912" spans="1:1" x14ac:dyDescent="0.25">
      <c r="A912" s="7"/>
    </row>
    <row r="913" spans="1:1" x14ac:dyDescent="0.25">
      <c r="A913" s="7"/>
    </row>
    <row r="914" spans="1:1" x14ac:dyDescent="0.25">
      <c r="A914" s="7"/>
    </row>
    <row r="915" spans="1:1" x14ac:dyDescent="0.25">
      <c r="A915" s="7"/>
    </row>
    <row r="916" spans="1:1" x14ac:dyDescent="0.25">
      <c r="A916" s="7"/>
    </row>
    <row r="917" spans="1:1" x14ac:dyDescent="0.25">
      <c r="A917" s="7"/>
    </row>
    <row r="918" spans="1:1" x14ac:dyDescent="0.25">
      <c r="A918" s="7"/>
    </row>
    <row r="919" spans="1:1" x14ac:dyDescent="0.25">
      <c r="A919" s="7"/>
    </row>
    <row r="920" spans="1:1" x14ac:dyDescent="0.25">
      <c r="A920" s="7"/>
    </row>
    <row r="921" spans="1:1" x14ac:dyDescent="0.25">
      <c r="A921" s="7"/>
    </row>
    <row r="922" spans="1:1" x14ac:dyDescent="0.25">
      <c r="A922" s="7"/>
    </row>
    <row r="923" spans="1:1" x14ac:dyDescent="0.25">
      <c r="A923" s="7"/>
    </row>
    <row r="924" spans="1:1" x14ac:dyDescent="0.25">
      <c r="A924" s="7"/>
    </row>
    <row r="925" spans="1:1" x14ac:dyDescent="0.25">
      <c r="A925" s="7"/>
    </row>
    <row r="926" spans="1:1" x14ac:dyDescent="0.25">
      <c r="A926" s="7"/>
    </row>
    <row r="927" spans="1:1" x14ac:dyDescent="0.25">
      <c r="A927" s="7"/>
    </row>
    <row r="928" spans="1:1" x14ac:dyDescent="0.25">
      <c r="A928" s="7"/>
    </row>
    <row r="929" spans="1:1" x14ac:dyDescent="0.25">
      <c r="A929" s="7"/>
    </row>
    <row r="930" spans="1:1" x14ac:dyDescent="0.25">
      <c r="A930" s="7"/>
    </row>
    <row r="931" spans="1:1" x14ac:dyDescent="0.25">
      <c r="A931" s="7"/>
    </row>
    <row r="932" spans="1:1" x14ac:dyDescent="0.25">
      <c r="A932" s="7"/>
    </row>
    <row r="933" spans="1:1" x14ac:dyDescent="0.25">
      <c r="A933" s="7"/>
    </row>
    <row r="934" spans="1:1" x14ac:dyDescent="0.25">
      <c r="A934" s="7"/>
    </row>
    <row r="935" spans="1:1" x14ac:dyDescent="0.25">
      <c r="A935" s="7"/>
    </row>
    <row r="936" spans="1:1" x14ac:dyDescent="0.25">
      <c r="A936" s="7"/>
    </row>
    <row r="937" spans="1:1" x14ac:dyDescent="0.25">
      <c r="A937" s="7"/>
    </row>
    <row r="938" spans="1:1" x14ac:dyDescent="0.25">
      <c r="A938" s="7"/>
    </row>
    <row r="939" spans="1:1" x14ac:dyDescent="0.25">
      <c r="A939" s="7"/>
    </row>
    <row r="940" spans="1:1" x14ac:dyDescent="0.25">
      <c r="A940" s="7"/>
    </row>
    <row r="941" spans="1:1" x14ac:dyDescent="0.25">
      <c r="A941" s="7"/>
    </row>
    <row r="942" spans="1:1" x14ac:dyDescent="0.25">
      <c r="A942" s="7"/>
    </row>
    <row r="943" spans="1:1" x14ac:dyDescent="0.25">
      <c r="A943" s="7"/>
    </row>
    <row r="944" spans="1:1" x14ac:dyDescent="0.25">
      <c r="A944" s="7"/>
    </row>
    <row r="945" spans="1:1" x14ac:dyDescent="0.25">
      <c r="A945" s="7"/>
    </row>
    <row r="946" spans="1:1" x14ac:dyDescent="0.25">
      <c r="A946" s="7"/>
    </row>
    <row r="947" spans="1:1" x14ac:dyDescent="0.25">
      <c r="A947" s="7"/>
    </row>
    <row r="948" spans="1:1" x14ac:dyDescent="0.25">
      <c r="A948" s="7"/>
    </row>
    <row r="949" spans="1:1" x14ac:dyDescent="0.25">
      <c r="A949" s="7"/>
    </row>
    <row r="950" spans="1:1" x14ac:dyDescent="0.25">
      <c r="A950" s="7"/>
    </row>
    <row r="951" spans="1:1" x14ac:dyDescent="0.25">
      <c r="A951" s="7"/>
    </row>
    <row r="952" spans="1:1" x14ac:dyDescent="0.25">
      <c r="A952" s="7"/>
    </row>
    <row r="953" spans="1:1" x14ac:dyDescent="0.25">
      <c r="A953" s="7"/>
    </row>
    <row r="954" spans="1:1" x14ac:dyDescent="0.25">
      <c r="A954" s="7"/>
    </row>
    <row r="955" spans="1:1" x14ac:dyDescent="0.25">
      <c r="A955" s="7"/>
    </row>
    <row r="956" spans="1:1" x14ac:dyDescent="0.25">
      <c r="A956" s="7"/>
    </row>
    <row r="957" spans="1:1" x14ac:dyDescent="0.25">
      <c r="A957" s="7"/>
    </row>
    <row r="958" spans="1:1" x14ac:dyDescent="0.25">
      <c r="A958" s="7"/>
    </row>
    <row r="959" spans="1:1" x14ac:dyDescent="0.25">
      <c r="A959" s="7"/>
    </row>
    <row r="960" spans="1:1" x14ac:dyDescent="0.25">
      <c r="A960" s="7"/>
    </row>
    <row r="961" spans="1:1" x14ac:dyDescent="0.25">
      <c r="A961" s="7"/>
    </row>
    <row r="962" spans="1:1" x14ac:dyDescent="0.25">
      <c r="A962" s="7"/>
    </row>
    <row r="963" spans="1:1" x14ac:dyDescent="0.25">
      <c r="A963" s="7"/>
    </row>
    <row r="964" spans="1:1" x14ac:dyDescent="0.25">
      <c r="A964" s="7"/>
    </row>
    <row r="965" spans="1:1" x14ac:dyDescent="0.25">
      <c r="A965" s="7"/>
    </row>
    <row r="966" spans="1:1" x14ac:dyDescent="0.25">
      <c r="A966" s="7"/>
    </row>
    <row r="967" spans="1:1" x14ac:dyDescent="0.25">
      <c r="A967" s="7"/>
    </row>
    <row r="968" spans="1:1" x14ac:dyDescent="0.25">
      <c r="A968" s="7"/>
    </row>
    <row r="969" spans="1:1" x14ac:dyDescent="0.25">
      <c r="A969" s="7"/>
    </row>
    <row r="970" spans="1:1" x14ac:dyDescent="0.25">
      <c r="A970" s="7"/>
    </row>
    <row r="971" spans="1:1" x14ac:dyDescent="0.25">
      <c r="A971" s="7"/>
    </row>
    <row r="972" spans="1:1" x14ac:dyDescent="0.25">
      <c r="A972" s="7"/>
    </row>
    <row r="973" spans="1:1" x14ac:dyDescent="0.25">
      <c r="A973" s="7"/>
    </row>
    <row r="974" spans="1:1" x14ac:dyDescent="0.25">
      <c r="A974" s="7"/>
    </row>
    <row r="975" spans="1:1" x14ac:dyDescent="0.25">
      <c r="A975" s="7"/>
    </row>
    <row r="976" spans="1:1" x14ac:dyDescent="0.25">
      <c r="A976" s="7"/>
    </row>
    <row r="977" spans="1:1" x14ac:dyDescent="0.25">
      <c r="A977" s="7"/>
    </row>
    <row r="978" spans="1:1" x14ac:dyDescent="0.25">
      <c r="A978" s="7"/>
    </row>
    <row r="979" spans="1:1" x14ac:dyDescent="0.25">
      <c r="A979" s="7"/>
    </row>
    <row r="980" spans="1:1" x14ac:dyDescent="0.25">
      <c r="A980" s="7"/>
    </row>
    <row r="981" spans="1:1" x14ac:dyDescent="0.25">
      <c r="A981" s="7"/>
    </row>
    <row r="982" spans="1:1" x14ac:dyDescent="0.25">
      <c r="A982" s="7"/>
    </row>
    <row r="983" spans="1:1" x14ac:dyDescent="0.25">
      <c r="A983" s="7"/>
    </row>
    <row r="984" spans="1:1" x14ac:dyDescent="0.25">
      <c r="A984" s="7"/>
    </row>
    <row r="985" spans="1:1" x14ac:dyDescent="0.25">
      <c r="A985" s="7"/>
    </row>
    <row r="986" spans="1:1" x14ac:dyDescent="0.25">
      <c r="A986" s="7"/>
    </row>
    <row r="987" spans="1:1" x14ac:dyDescent="0.25">
      <c r="A987" s="7"/>
    </row>
    <row r="988" spans="1:1" x14ac:dyDescent="0.25">
      <c r="A988" s="7"/>
    </row>
    <row r="989" spans="1:1" x14ac:dyDescent="0.25">
      <c r="A989" s="7"/>
    </row>
    <row r="990" spans="1:1" x14ac:dyDescent="0.25">
      <c r="A990" s="7"/>
    </row>
    <row r="991" spans="1:1" x14ac:dyDescent="0.25">
      <c r="A991" s="7"/>
    </row>
    <row r="992" spans="1:1" x14ac:dyDescent="0.25">
      <c r="A992" s="7"/>
    </row>
    <row r="993" spans="1:1" x14ac:dyDescent="0.25">
      <c r="A993" s="7"/>
    </row>
    <row r="994" spans="1:1" x14ac:dyDescent="0.25">
      <c r="A994" s="7"/>
    </row>
    <row r="995" spans="1:1" x14ac:dyDescent="0.25">
      <c r="A995" s="7"/>
    </row>
    <row r="996" spans="1:1" x14ac:dyDescent="0.25">
      <c r="A996" s="7"/>
    </row>
    <row r="997" spans="1:1" x14ac:dyDescent="0.25">
      <c r="A997" s="7"/>
    </row>
    <row r="998" spans="1:1" x14ac:dyDescent="0.25">
      <c r="A998" s="7"/>
    </row>
    <row r="999" spans="1:1" x14ac:dyDescent="0.25">
      <c r="A999" s="7"/>
    </row>
    <row r="1000" spans="1:1" x14ac:dyDescent="0.25">
      <c r="A1000" s="7"/>
    </row>
    <row r="1001" spans="1:1" x14ac:dyDescent="0.25">
      <c r="A1001" s="7"/>
    </row>
    <row r="1002" spans="1:1" x14ac:dyDescent="0.25">
      <c r="A1002" s="7"/>
    </row>
    <row r="1003" spans="1:1" x14ac:dyDescent="0.25">
      <c r="A1003" s="7"/>
    </row>
    <row r="1004" spans="1:1" x14ac:dyDescent="0.25">
      <c r="A1004" s="7"/>
    </row>
    <row r="1005" spans="1:1" x14ac:dyDescent="0.25">
      <c r="A1005" s="7"/>
    </row>
    <row r="1006" spans="1:1" x14ac:dyDescent="0.25">
      <c r="A1006" s="7"/>
    </row>
    <row r="1007" spans="1:1" x14ac:dyDescent="0.25">
      <c r="A1007" s="7"/>
    </row>
    <row r="1008" spans="1:1" x14ac:dyDescent="0.25">
      <c r="A1008" s="7"/>
    </row>
    <row r="1009" spans="1:1" x14ac:dyDescent="0.25">
      <c r="A1009" s="7"/>
    </row>
    <row r="1010" spans="1:1" x14ac:dyDescent="0.25">
      <c r="A1010" s="7"/>
    </row>
    <row r="1011" spans="1:1" x14ac:dyDescent="0.25">
      <c r="A1011" s="7"/>
    </row>
    <row r="1012" spans="1:1" x14ac:dyDescent="0.25">
      <c r="A1012" s="7"/>
    </row>
    <row r="1013" spans="1:1" x14ac:dyDescent="0.25">
      <c r="A1013" s="7"/>
    </row>
    <row r="1014" spans="1:1" x14ac:dyDescent="0.25">
      <c r="A1014" s="7"/>
    </row>
    <row r="1015" spans="1:1" x14ac:dyDescent="0.25">
      <c r="A1015" s="7"/>
    </row>
    <row r="1016" spans="1:1" x14ac:dyDescent="0.25">
      <c r="A1016" s="7"/>
    </row>
    <row r="1017" spans="1:1" x14ac:dyDescent="0.25">
      <c r="A1017" s="7"/>
    </row>
    <row r="1018" spans="1:1" x14ac:dyDescent="0.25">
      <c r="A1018" s="7"/>
    </row>
    <row r="1019" spans="1:1" x14ac:dyDescent="0.25">
      <c r="A1019" s="7"/>
    </row>
    <row r="1020" spans="1:1" x14ac:dyDescent="0.25">
      <c r="A1020" s="7"/>
    </row>
    <row r="1021" spans="1:1" x14ac:dyDescent="0.25">
      <c r="A1021" s="7"/>
    </row>
    <row r="1022" spans="1:1" x14ac:dyDescent="0.25">
      <c r="A1022" s="7"/>
    </row>
    <row r="1023" spans="1:1" x14ac:dyDescent="0.25">
      <c r="A1023" s="7"/>
    </row>
    <row r="1024" spans="1:1" x14ac:dyDescent="0.25">
      <c r="A1024" s="7"/>
    </row>
    <row r="1025" spans="1:1" x14ac:dyDescent="0.25">
      <c r="A1025" s="7"/>
    </row>
    <row r="1026" spans="1:1" x14ac:dyDescent="0.25">
      <c r="A1026" s="7"/>
    </row>
    <row r="1027" spans="1:1" x14ac:dyDescent="0.25">
      <c r="A1027" s="7"/>
    </row>
    <row r="1028" spans="1:1" x14ac:dyDescent="0.25">
      <c r="A1028" s="7"/>
    </row>
    <row r="1029" spans="1:1" x14ac:dyDescent="0.25">
      <c r="A1029" s="7"/>
    </row>
    <row r="1030" spans="1:1" x14ac:dyDescent="0.25">
      <c r="A1030" s="7"/>
    </row>
    <row r="1031" spans="1:1" x14ac:dyDescent="0.25">
      <c r="A1031" s="7"/>
    </row>
    <row r="1032" spans="1:1" x14ac:dyDescent="0.25">
      <c r="A1032" s="7"/>
    </row>
    <row r="1033" spans="1:1" x14ac:dyDescent="0.25">
      <c r="A1033" s="7"/>
    </row>
    <row r="1034" spans="1:1" x14ac:dyDescent="0.25">
      <c r="A1034" s="7"/>
    </row>
    <row r="1035" spans="1:1" x14ac:dyDescent="0.25">
      <c r="A1035" s="7"/>
    </row>
    <row r="1036" spans="1:1" x14ac:dyDescent="0.25">
      <c r="A1036" s="7"/>
    </row>
    <row r="1037" spans="1:1" x14ac:dyDescent="0.25">
      <c r="A1037" s="7"/>
    </row>
    <row r="1038" spans="1:1" x14ac:dyDescent="0.25">
      <c r="A1038" s="7"/>
    </row>
    <row r="1039" spans="1:1" x14ac:dyDescent="0.25">
      <c r="A1039" s="7"/>
    </row>
    <row r="1040" spans="1:1" x14ac:dyDescent="0.25">
      <c r="A1040" s="7"/>
    </row>
    <row r="1041" spans="1:1" x14ac:dyDescent="0.25">
      <c r="A1041" s="7"/>
    </row>
    <row r="1042" spans="1:1" x14ac:dyDescent="0.25">
      <c r="A1042" s="7"/>
    </row>
    <row r="1043" spans="1:1" x14ac:dyDescent="0.25">
      <c r="A1043" s="7"/>
    </row>
    <row r="1044" spans="1:1" x14ac:dyDescent="0.25">
      <c r="A1044" s="7"/>
    </row>
    <row r="1045" spans="1:1" x14ac:dyDescent="0.25">
      <c r="A1045" s="7"/>
    </row>
    <row r="1046" spans="1:1" x14ac:dyDescent="0.25">
      <c r="A1046" s="7"/>
    </row>
    <row r="1047" spans="1:1" x14ac:dyDescent="0.25">
      <c r="A1047" s="7"/>
    </row>
    <row r="1048" spans="1:1" x14ac:dyDescent="0.25">
      <c r="A1048" s="7"/>
    </row>
    <row r="1049" spans="1:1" x14ac:dyDescent="0.25">
      <c r="A1049" s="7"/>
    </row>
    <row r="1050" spans="1:1" x14ac:dyDescent="0.25">
      <c r="A1050" s="7"/>
    </row>
    <row r="1051" spans="1:1" x14ac:dyDescent="0.25">
      <c r="A1051" s="7"/>
    </row>
    <row r="1052" spans="1:1" x14ac:dyDescent="0.25">
      <c r="A1052" s="7"/>
    </row>
    <row r="1053" spans="1:1" x14ac:dyDescent="0.25">
      <c r="A1053" s="7"/>
    </row>
    <row r="1054" spans="1:1" x14ac:dyDescent="0.25">
      <c r="A1054" s="7"/>
    </row>
    <row r="1055" spans="1:1" x14ac:dyDescent="0.25">
      <c r="A1055" s="7"/>
    </row>
    <row r="1056" spans="1:1" x14ac:dyDescent="0.25">
      <c r="A1056" s="7"/>
    </row>
    <row r="1057" spans="1:1" x14ac:dyDescent="0.25">
      <c r="A1057" s="7"/>
    </row>
    <row r="1058" spans="1:1" x14ac:dyDescent="0.25">
      <c r="A1058" s="7"/>
    </row>
    <row r="1059" spans="1:1" x14ac:dyDescent="0.25">
      <c r="A1059" s="7"/>
    </row>
    <row r="1060" spans="1:1" x14ac:dyDescent="0.25">
      <c r="A1060" s="7"/>
    </row>
    <row r="1061" spans="1:1" x14ac:dyDescent="0.25">
      <c r="A1061" s="7"/>
    </row>
    <row r="1062" spans="1:1" x14ac:dyDescent="0.25">
      <c r="A1062" s="7"/>
    </row>
    <row r="1063" spans="1:1" x14ac:dyDescent="0.25">
      <c r="A1063" s="7"/>
    </row>
    <row r="1064" spans="1:1" x14ac:dyDescent="0.25">
      <c r="A1064" s="7"/>
    </row>
    <row r="1065" spans="1:1" x14ac:dyDescent="0.25">
      <c r="A1065" s="7"/>
    </row>
    <row r="1066" spans="1:1" x14ac:dyDescent="0.25">
      <c r="A1066" s="7"/>
    </row>
    <row r="1067" spans="1:1" x14ac:dyDescent="0.25">
      <c r="A1067" s="7"/>
    </row>
    <row r="1068" spans="1:1" x14ac:dyDescent="0.25">
      <c r="A1068" s="7"/>
    </row>
    <row r="1069" spans="1:1" x14ac:dyDescent="0.25">
      <c r="A1069" s="7"/>
    </row>
    <row r="1070" spans="1:1" x14ac:dyDescent="0.25">
      <c r="A1070" s="7"/>
    </row>
    <row r="1071" spans="1:1" x14ac:dyDescent="0.25">
      <c r="A1071" s="7"/>
    </row>
    <row r="1072" spans="1:1" x14ac:dyDescent="0.25">
      <c r="A1072" s="7"/>
    </row>
    <row r="1073" spans="1:1" x14ac:dyDescent="0.25">
      <c r="A1073" s="7"/>
    </row>
    <row r="1074" spans="1:1" x14ac:dyDescent="0.25">
      <c r="A1074" s="7"/>
    </row>
    <row r="1075" spans="1:1" x14ac:dyDescent="0.25">
      <c r="A1075" s="7"/>
    </row>
    <row r="1076" spans="1:1" x14ac:dyDescent="0.25">
      <c r="A1076" s="7"/>
    </row>
    <row r="1077" spans="1:1" x14ac:dyDescent="0.25">
      <c r="A1077" s="7"/>
    </row>
    <row r="1078" spans="1:1" x14ac:dyDescent="0.25">
      <c r="A1078" s="7"/>
    </row>
    <row r="1079" spans="1:1" x14ac:dyDescent="0.25">
      <c r="A1079" s="7"/>
    </row>
    <row r="1080" spans="1:1" x14ac:dyDescent="0.25">
      <c r="A1080" s="7"/>
    </row>
    <row r="1081" spans="1:1" x14ac:dyDescent="0.25">
      <c r="A1081" s="7"/>
    </row>
    <row r="1082" spans="1:1" x14ac:dyDescent="0.25">
      <c r="A1082" s="7"/>
    </row>
    <row r="1083" spans="1:1" x14ac:dyDescent="0.25">
      <c r="A1083" s="7"/>
    </row>
    <row r="1084" spans="1:1" x14ac:dyDescent="0.25">
      <c r="A1084" s="7"/>
    </row>
    <row r="1085" spans="1:1" x14ac:dyDescent="0.25">
      <c r="A1085" s="7"/>
    </row>
    <row r="1086" spans="1:1" x14ac:dyDescent="0.25">
      <c r="A1086" s="7"/>
    </row>
    <row r="1087" spans="1:1" x14ac:dyDescent="0.25">
      <c r="A1087" s="7"/>
    </row>
    <row r="1088" spans="1:1" x14ac:dyDescent="0.25">
      <c r="A1088" s="7"/>
    </row>
    <row r="1089" spans="1:1" x14ac:dyDescent="0.25">
      <c r="A1089" s="7"/>
    </row>
    <row r="1090" spans="1:1" x14ac:dyDescent="0.25">
      <c r="A1090" s="7"/>
    </row>
    <row r="1091" spans="1:1" x14ac:dyDescent="0.25">
      <c r="A1091" s="7"/>
    </row>
    <row r="1092" spans="1:1" x14ac:dyDescent="0.25">
      <c r="A1092" s="7"/>
    </row>
    <row r="1093" spans="1:1" x14ac:dyDescent="0.25">
      <c r="A1093" s="7"/>
    </row>
    <row r="1094" spans="1:1" x14ac:dyDescent="0.25">
      <c r="A1094" s="7"/>
    </row>
    <row r="1095" spans="1:1" x14ac:dyDescent="0.25">
      <c r="A1095" s="7"/>
    </row>
    <row r="1096" spans="1:1" x14ac:dyDescent="0.25">
      <c r="A1096" s="7"/>
    </row>
    <row r="1097" spans="1:1" x14ac:dyDescent="0.25">
      <c r="A1097" s="7"/>
    </row>
    <row r="1098" spans="1:1" x14ac:dyDescent="0.25">
      <c r="A1098" s="7"/>
    </row>
    <row r="1099" spans="1:1" x14ac:dyDescent="0.25">
      <c r="A1099" s="7"/>
    </row>
    <row r="1100" spans="1:1" x14ac:dyDescent="0.25">
      <c r="A1100" s="7"/>
    </row>
    <row r="1101" spans="1:1" x14ac:dyDescent="0.25">
      <c r="A1101" s="7"/>
    </row>
    <row r="1102" spans="1:1" x14ac:dyDescent="0.25">
      <c r="A1102" s="7"/>
    </row>
    <row r="1103" spans="1:1" x14ac:dyDescent="0.25">
      <c r="A1103" s="7"/>
    </row>
    <row r="1104" spans="1:1" x14ac:dyDescent="0.25">
      <c r="A1104" s="7"/>
    </row>
    <row r="1105" spans="1:1" x14ac:dyDescent="0.25">
      <c r="A1105" s="7"/>
    </row>
    <row r="1106" spans="1:1" x14ac:dyDescent="0.25">
      <c r="A1106" s="7"/>
    </row>
    <row r="1107" spans="1:1" x14ac:dyDescent="0.25">
      <c r="A1107" s="7"/>
    </row>
    <row r="1108" spans="1:1" x14ac:dyDescent="0.25">
      <c r="A1108" s="7"/>
    </row>
    <row r="1109" spans="1:1" x14ac:dyDescent="0.25">
      <c r="A1109" s="7"/>
    </row>
    <row r="1110" spans="1:1" x14ac:dyDescent="0.25">
      <c r="A1110" s="7"/>
    </row>
    <row r="1111" spans="1:1" x14ac:dyDescent="0.25">
      <c r="A1111" s="7"/>
    </row>
    <row r="1112" spans="1:1" x14ac:dyDescent="0.25">
      <c r="A1112" s="7"/>
    </row>
    <row r="1113" spans="1:1" x14ac:dyDescent="0.25">
      <c r="A1113" s="7"/>
    </row>
    <row r="1114" spans="1:1" x14ac:dyDescent="0.25">
      <c r="A1114" s="7"/>
    </row>
    <row r="1115" spans="1:1" x14ac:dyDescent="0.25">
      <c r="A1115" s="7"/>
    </row>
    <row r="1116" spans="1:1" x14ac:dyDescent="0.25">
      <c r="A1116" s="7"/>
    </row>
    <row r="1117" spans="1:1" x14ac:dyDescent="0.25">
      <c r="A1117" s="7"/>
    </row>
    <row r="1118" spans="1:1" x14ac:dyDescent="0.25">
      <c r="A1118" s="7"/>
    </row>
    <row r="1119" spans="1:1" x14ac:dyDescent="0.25">
      <c r="A1119" s="7"/>
    </row>
    <row r="1120" spans="1:1" x14ac:dyDescent="0.25">
      <c r="A1120" s="7"/>
    </row>
    <row r="1121" spans="1:1" x14ac:dyDescent="0.25">
      <c r="A1121" s="7"/>
    </row>
    <row r="1122" spans="1:1" x14ac:dyDescent="0.25">
      <c r="A1122" s="7"/>
    </row>
    <row r="1123" spans="1:1" x14ac:dyDescent="0.25">
      <c r="A1123" s="7"/>
    </row>
    <row r="1124" spans="1:1" x14ac:dyDescent="0.25">
      <c r="A1124" s="7"/>
    </row>
    <row r="1125" spans="1:1" x14ac:dyDescent="0.25">
      <c r="A1125" s="7"/>
    </row>
    <row r="1126" spans="1:1" x14ac:dyDescent="0.25">
      <c r="A1126" s="7"/>
    </row>
    <row r="1127" spans="1:1" x14ac:dyDescent="0.25">
      <c r="A1127" s="7"/>
    </row>
    <row r="1128" spans="1:1" x14ac:dyDescent="0.25">
      <c r="A1128" s="7"/>
    </row>
    <row r="1129" spans="1:1" x14ac:dyDescent="0.25">
      <c r="A1129" s="7"/>
    </row>
    <row r="1130" spans="1:1" x14ac:dyDescent="0.25">
      <c r="A1130" s="7"/>
    </row>
    <row r="1131" spans="1:1" x14ac:dyDescent="0.25">
      <c r="A1131" s="7"/>
    </row>
    <row r="1132" spans="1:1" x14ac:dyDescent="0.25">
      <c r="A1132" s="7"/>
    </row>
    <row r="1133" spans="1:1" x14ac:dyDescent="0.25">
      <c r="A1133" s="7"/>
    </row>
    <row r="1134" spans="1:1" x14ac:dyDescent="0.25">
      <c r="A1134" s="7"/>
    </row>
    <row r="1135" spans="1:1" x14ac:dyDescent="0.25">
      <c r="A1135" s="7"/>
    </row>
    <row r="1136" spans="1:1" x14ac:dyDescent="0.25">
      <c r="A1136" s="7"/>
    </row>
    <row r="1137" spans="1:1" x14ac:dyDescent="0.25">
      <c r="A1137" s="7"/>
    </row>
    <row r="1138" spans="1:1" x14ac:dyDescent="0.25">
      <c r="A1138" s="7"/>
    </row>
    <row r="1139" spans="1:1" x14ac:dyDescent="0.25">
      <c r="A1139" s="7"/>
    </row>
    <row r="1140" spans="1:1" x14ac:dyDescent="0.25">
      <c r="A1140" s="7"/>
    </row>
    <row r="1141" spans="1:1" x14ac:dyDescent="0.25">
      <c r="A1141" s="7"/>
    </row>
    <row r="1142" spans="1:1" x14ac:dyDescent="0.25">
      <c r="A1142" s="7"/>
    </row>
    <row r="1143" spans="1:1" x14ac:dyDescent="0.25">
      <c r="A1143" s="7"/>
    </row>
    <row r="1144" spans="1:1" x14ac:dyDescent="0.25">
      <c r="A1144" s="7"/>
    </row>
    <row r="1145" spans="1:1" x14ac:dyDescent="0.25">
      <c r="A1145" s="7"/>
    </row>
    <row r="1146" spans="1:1" x14ac:dyDescent="0.25">
      <c r="A1146" s="7"/>
    </row>
    <row r="1147" spans="1:1" x14ac:dyDescent="0.25">
      <c r="A1147" s="7"/>
    </row>
    <row r="1148" spans="1:1" x14ac:dyDescent="0.25">
      <c r="A1148" s="7"/>
    </row>
    <row r="1149" spans="1:1" x14ac:dyDescent="0.25">
      <c r="A1149" s="7"/>
    </row>
    <row r="1150" spans="1:1" x14ac:dyDescent="0.25">
      <c r="A1150" s="7"/>
    </row>
    <row r="1151" spans="1:1" x14ac:dyDescent="0.25">
      <c r="A1151" s="7"/>
    </row>
    <row r="1152" spans="1:1" x14ac:dyDescent="0.25">
      <c r="A1152" s="7"/>
    </row>
    <row r="1153" spans="1:1" x14ac:dyDescent="0.25">
      <c r="A1153" s="7"/>
    </row>
    <row r="1154" spans="1:1" x14ac:dyDescent="0.25">
      <c r="A1154" s="7"/>
    </row>
    <row r="1155" spans="1:1" x14ac:dyDescent="0.25">
      <c r="A1155" s="7"/>
    </row>
    <row r="1156" spans="1:1" x14ac:dyDescent="0.25">
      <c r="A1156" s="7"/>
    </row>
    <row r="1157" spans="1:1" x14ac:dyDescent="0.25">
      <c r="A1157" s="7"/>
    </row>
    <row r="1158" spans="1:1" x14ac:dyDescent="0.25">
      <c r="A1158" s="7"/>
    </row>
    <row r="1159" spans="1:1" x14ac:dyDescent="0.25">
      <c r="A1159" s="7"/>
    </row>
    <row r="1160" spans="1:1" x14ac:dyDescent="0.25">
      <c r="A1160" s="7"/>
    </row>
    <row r="1161" spans="1:1" x14ac:dyDescent="0.25">
      <c r="A1161" s="7"/>
    </row>
    <row r="1162" spans="1:1" x14ac:dyDescent="0.25">
      <c r="A1162" s="7"/>
    </row>
    <row r="1163" spans="1:1" x14ac:dyDescent="0.25">
      <c r="A1163" s="7"/>
    </row>
    <row r="1164" spans="1:1" x14ac:dyDescent="0.25">
      <c r="A1164" s="7"/>
    </row>
    <row r="1165" spans="1:1" x14ac:dyDescent="0.25">
      <c r="A1165" s="7"/>
    </row>
    <row r="1166" spans="1:1" x14ac:dyDescent="0.25">
      <c r="A1166" s="7"/>
    </row>
    <row r="1167" spans="1:1" x14ac:dyDescent="0.25">
      <c r="A1167" s="7"/>
    </row>
    <row r="1168" spans="1:1" x14ac:dyDescent="0.25">
      <c r="A1168" s="7"/>
    </row>
    <row r="1169" spans="1:1" x14ac:dyDescent="0.25">
      <c r="A1169" s="7"/>
    </row>
    <row r="1170" spans="1:1" x14ac:dyDescent="0.25">
      <c r="A1170" s="7"/>
    </row>
    <row r="1171" spans="1:1" x14ac:dyDescent="0.25">
      <c r="A1171" s="7"/>
    </row>
    <row r="1172" spans="1:1" x14ac:dyDescent="0.25">
      <c r="A1172" s="7"/>
    </row>
    <row r="1173" spans="1:1" x14ac:dyDescent="0.25">
      <c r="A1173" s="7"/>
    </row>
    <row r="1174" spans="1:1" x14ac:dyDescent="0.25">
      <c r="A1174" s="7"/>
    </row>
    <row r="1175" spans="1:1" x14ac:dyDescent="0.25">
      <c r="A1175" s="7"/>
    </row>
    <row r="1176" spans="1:1" x14ac:dyDescent="0.25">
      <c r="A1176" s="7"/>
    </row>
    <row r="1177" spans="1:1" x14ac:dyDescent="0.25">
      <c r="A1177" s="7"/>
    </row>
    <row r="1178" spans="1:1" x14ac:dyDescent="0.25">
      <c r="A1178" s="7"/>
    </row>
    <row r="1179" spans="1:1" x14ac:dyDescent="0.25">
      <c r="A1179" s="7"/>
    </row>
    <row r="1180" spans="1:1" x14ac:dyDescent="0.25">
      <c r="A1180" s="7"/>
    </row>
    <row r="1181" spans="1:1" x14ac:dyDescent="0.25">
      <c r="A1181" s="7"/>
    </row>
    <row r="1182" spans="1:1" x14ac:dyDescent="0.25">
      <c r="A1182" s="7"/>
    </row>
    <row r="1183" spans="1:1" x14ac:dyDescent="0.25">
      <c r="A1183" s="7"/>
    </row>
    <row r="1184" spans="1:1" x14ac:dyDescent="0.25">
      <c r="A1184" s="7"/>
    </row>
    <row r="1185" spans="1:1" x14ac:dyDescent="0.25">
      <c r="A1185" s="7"/>
    </row>
    <row r="1186" spans="1:1" x14ac:dyDescent="0.25">
      <c r="A1186" s="7"/>
    </row>
    <row r="1187" spans="1:1" x14ac:dyDescent="0.25">
      <c r="A1187" s="7"/>
    </row>
    <row r="1188" spans="1:1" x14ac:dyDescent="0.25">
      <c r="A1188" s="7"/>
    </row>
    <row r="1189" spans="1:1" x14ac:dyDescent="0.25">
      <c r="A1189" s="7"/>
    </row>
    <row r="1190" spans="1:1" x14ac:dyDescent="0.25">
      <c r="A1190" s="7"/>
    </row>
    <row r="1191" spans="1:1" x14ac:dyDescent="0.25">
      <c r="A1191" s="7"/>
    </row>
    <row r="1192" spans="1:1" x14ac:dyDescent="0.25">
      <c r="A1192" s="7"/>
    </row>
    <row r="1193" spans="1:1" x14ac:dyDescent="0.25">
      <c r="A1193" s="7"/>
    </row>
    <row r="1194" spans="1:1" x14ac:dyDescent="0.25">
      <c r="A1194" s="7"/>
    </row>
    <row r="1195" spans="1:1" x14ac:dyDescent="0.25">
      <c r="A1195" s="7"/>
    </row>
    <row r="1196" spans="1:1" x14ac:dyDescent="0.25">
      <c r="A1196" s="7"/>
    </row>
    <row r="1197" spans="1:1" x14ac:dyDescent="0.25">
      <c r="A1197" s="7"/>
    </row>
    <row r="1198" spans="1:1" x14ac:dyDescent="0.25">
      <c r="A1198" s="7"/>
    </row>
    <row r="1199" spans="1:1" x14ac:dyDescent="0.25">
      <c r="A1199" s="7"/>
    </row>
    <row r="1200" spans="1:1" x14ac:dyDescent="0.25">
      <c r="A1200" s="7"/>
    </row>
    <row r="1201" spans="1:1" x14ac:dyDescent="0.25">
      <c r="A1201" s="7"/>
    </row>
    <row r="1202" spans="1:1" x14ac:dyDescent="0.25">
      <c r="A1202" s="7"/>
    </row>
    <row r="1203" spans="1:1" x14ac:dyDescent="0.25">
      <c r="A1203" s="7"/>
    </row>
    <row r="1204" spans="1:1" x14ac:dyDescent="0.25">
      <c r="A1204" s="7"/>
    </row>
    <row r="1205" spans="1:1" x14ac:dyDescent="0.25">
      <c r="A1205" s="7"/>
    </row>
    <row r="1206" spans="1:1" x14ac:dyDescent="0.25">
      <c r="A1206" s="7"/>
    </row>
    <row r="1207" spans="1:1" x14ac:dyDescent="0.25">
      <c r="A1207" s="7"/>
    </row>
    <row r="1208" spans="1:1" x14ac:dyDescent="0.25">
      <c r="A1208" s="7"/>
    </row>
    <row r="1209" spans="1:1" x14ac:dyDescent="0.25">
      <c r="A1209" s="7"/>
    </row>
    <row r="1210" spans="1:1" x14ac:dyDescent="0.25">
      <c r="A1210" s="7"/>
    </row>
    <row r="1211" spans="1:1" x14ac:dyDescent="0.25">
      <c r="A1211" s="7"/>
    </row>
    <row r="1212" spans="1:1" x14ac:dyDescent="0.25">
      <c r="A1212" s="7"/>
    </row>
    <row r="1213" spans="1:1" x14ac:dyDescent="0.25">
      <c r="A1213" s="7"/>
    </row>
    <row r="1214" spans="1:1" x14ac:dyDescent="0.25">
      <c r="A1214" s="7"/>
    </row>
    <row r="1215" spans="1:1" x14ac:dyDescent="0.25">
      <c r="A1215" s="7"/>
    </row>
    <row r="1216" spans="1:1" x14ac:dyDescent="0.25">
      <c r="A1216" s="7"/>
    </row>
    <row r="1217" spans="1:1" x14ac:dyDescent="0.25">
      <c r="A1217" s="7"/>
    </row>
    <row r="1218" spans="1:1" x14ac:dyDescent="0.25">
      <c r="A1218" s="7"/>
    </row>
    <row r="1219" spans="1:1" x14ac:dyDescent="0.25">
      <c r="A1219" s="7"/>
    </row>
    <row r="1220" spans="1:1" x14ac:dyDescent="0.25">
      <c r="A1220" s="7"/>
    </row>
    <row r="1221" spans="1:1" x14ac:dyDescent="0.25">
      <c r="A1221" s="7"/>
    </row>
    <row r="1222" spans="1:1" x14ac:dyDescent="0.25">
      <c r="A1222" s="7"/>
    </row>
    <row r="1223" spans="1:1" x14ac:dyDescent="0.25">
      <c r="A1223" s="7"/>
    </row>
    <row r="1224" spans="1:1" x14ac:dyDescent="0.25">
      <c r="A1224" s="7"/>
    </row>
    <row r="1225" spans="1:1" x14ac:dyDescent="0.25">
      <c r="A1225" s="7"/>
    </row>
    <row r="1226" spans="1:1" x14ac:dyDescent="0.25">
      <c r="A1226" s="7"/>
    </row>
    <row r="1227" spans="1:1" x14ac:dyDescent="0.25">
      <c r="A1227" s="7"/>
    </row>
    <row r="1228" spans="1:1" x14ac:dyDescent="0.25">
      <c r="A1228" s="7"/>
    </row>
    <row r="1229" spans="1:1" x14ac:dyDescent="0.25">
      <c r="A1229" s="7"/>
    </row>
    <row r="1230" spans="1:1" x14ac:dyDescent="0.25">
      <c r="A1230" s="7"/>
    </row>
    <row r="1231" spans="1:1" x14ac:dyDescent="0.25">
      <c r="A1231" s="7"/>
    </row>
    <row r="1232" spans="1:1" x14ac:dyDescent="0.25">
      <c r="A1232" s="7"/>
    </row>
    <row r="1233" spans="1:1" x14ac:dyDescent="0.25">
      <c r="A1233" s="7"/>
    </row>
    <row r="1234" spans="1:1" x14ac:dyDescent="0.25">
      <c r="A1234" s="7"/>
    </row>
    <row r="1235" spans="1:1" x14ac:dyDescent="0.25">
      <c r="A1235" s="7"/>
    </row>
    <row r="1236" spans="1:1" x14ac:dyDescent="0.25">
      <c r="A1236" s="7"/>
    </row>
    <row r="1237" spans="1:1" x14ac:dyDescent="0.25">
      <c r="A1237" s="7"/>
    </row>
    <row r="1238" spans="1:1" x14ac:dyDescent="0.25">
      <c r="A1238" s="7"/>
    </row>
    <row r="1239" spans="1:1" x14ac:dyDescent="0.25">
      <c r="A1239" s="7"/>
    </row>
    <row r="1240" spans="1:1" x14ac:dyDescent="0.25">
      <c r="A1240" s="7"/>
    </row>
    <row r="1241" spans="1:1" x14ac:dyDescent="0.25">
      <c r="A1241" s="7"/>
    </row>
    <row r="1242" spans="1:1" x14ac:dyDescent="0.25">
      <c r="A1242" s="7"/>
    </row>
    <row r="1243" spans="1:1" x14ac:dyDescent="0.25">
      <c r="A1243" s="7"/>
    </row>
    <row r="1244" spans="1:1" x14ac:dyDescent="0.25">
      <c r="A1244" s="7"/>
    </row>
    <row r="1245" spans="1:1" x14ac:dyDescent="0.25">
      <c r="A1245" s="7"/>
    </row>
    <row r="1246" spans="1:1" x14ac:dyDescent="0.25">
      <c r="A1246" s="7"/>
    </row>
    <row r="1247" spans="1:1" x14ac:dyDescent="0.25">
      <c r="A1247" s="7"/>
    </row>
    <row r="1248" spans="1:1" x14ac:dyDescent="0.25">
      <c r="A1248" s="7"/>
    </row>
    <row r="1249" spans="1:1" x14ac:dyDescent="0.25">
      <c r="A1249" s="7"/>
    </row>
    <row r="1250" spans="1:1" x14ac:dyDescent="0.25">
      <c r="A1250" s="7"/>
    </row>
    <row r="1251" spans="1:1" x14ac:dyDescent="0.25">
      <c r="A1251" s="7"/>
    </row>
    <row r="1252" spans="1:1" x14ac:dyDescent="0.25">
      <c r="A1252" s="7"/>
    </row>
    <row r="1253" spans="1:1" x14ac:dyDescent="0.25">
      <c r="A1253" s="7"/>
    </row>
    <row r="1254" spans="1:1" x14ac:dyDescent="0.25">
      <c r="A1254" s="7"/>
    </row>
    <row r="1255" spans="1:1" x14ac:dyDescent="0.25">
      <c r="A1255" s="7"/>
    </row>
    <row r="1256" spans="1:1" x14ac:dyDescent="0.25">
      <c r="A1256" s="7"/>
    </row>
    <row r="1257" spans="1:1" x14ac:dyDescent="0.25">
      <c r="A1257" s="7"/>
    </row>
    <row r="1258" spans="1:1" x14ac:dyDescent="0.25">
      <c r="A1258" s="7"/>
    </row>
    <row r="1259" spans="1:1" x14ac:dyDescent="0.25">
      <c r="A1259" s="7"/>
    </row>
    <row r="1260" spans="1:1" x14ac:dyDescent="0.25">
      <c r="A1260" s="7"/>
    </row>
    <row r="1261" spans="1:1" x14ac:dyDescent="0.25">
      <c r="A1261" s="7"/>
    </row>
    <row r="1262" spans="1:1" x14ac:dyDescent="0.25">
      <c r="A1262" s="7"/>
    </row>
    <row r="1263" spans="1:1" x14ac:dyDescent="0.25">
      <c r="A1263" s="7"/>
    </row>
    <row r="1264" spans="1:1" x14ac:dyDescent="0.25">
      <c r="A1264" s="7"/>
    </row>
    <row r="1265" spans="1:1" x14ac:dyDescent="0.25">
      <c r="A1265" s="7"/>
    </row>
    <row r="1266" spans="1:1" x14ac:dyDescent="0.25">
      <c r="A1266" s="7"/>
    </row>
    <row r="1267" spans="1:1" x14ac:dyDescent="0.25">
      <c r="A1267" s="7"/>
    </row>
    <row r="1268" spans="1:1" x14ac:dyDescent="0.25">
      <c r="A1268" s="7"/>
    </row>
    <row r="1269" spans="1:1" x14ac:dyDescent="0.25">
      <c r="A1269" s="7"/>
    </row>
    <row r="1270" spans="1:1" x14ac:dyDescent="0.25">
      <c r="A1270" s="7"/>
    </row>
    <row r="1271" spans="1:1" x14ac:dyDescent="0.25">
      <c r="A1271" s="7"/>
    </row>
    <row r="1272" spans="1:1" x14ac:dyDescent="0.25">
      <c r="A1272" s="7"/>
    </row>
    <row r="1273" spans="1:1" x14ac:dyDescent="0.25">
      <c r="A1273" s="7"/>
    </row>
    <row r="1274" spans="1:1" x14ac:dyDescent="0.25">
      <c r="A1274" s="7"/>
    </row>
    <row r="1275" spans="1:1" x14ac:dyDescent="0.25">
      <c r="A1275" s="7"/>
    </row>
    <row r="1276" spans="1:1" x14ac:dyDescent="0.25">
      <c r="A1276" s="7"/>
    </row>
    <row r="1277" spans="1:1" x14ac:dyDescent="0.25">
      <c r="A1277" s="7"/>
    </row>
    <row r="1278" spans="1:1" x14ac:dyDescent="0.25">
      <c r="A1278" s="7"/>
    </row>
    <row r="1279" spans="1:1" x14ac:dyDescent="0.25">
      <c r="A1279" s="7"/>
    </row>
    <row r="1280" spans="1:1" x14ac:dyDescent="0.25">
      <c r="A1280" s="7"/>
    </row>
    <row r="1281" spans="1:1" x14ac:dyDescent="0.25">
      <c r="A1281" s="7"/>
    </row>
    <row r="1282" spans="1:1" x14ac:dyDescent="0.25">
      <c r="A1282" s="7"/>
    </row>
    <row r="1283" spans="1:1" x14ac:dyDescent="0.25">
      <c r="A1283" s="7"/>
    </row>
    <row r="1284" spans="1:1" x14ac:dyDescent="0.25">
      <c r="A1284" s="7"/>
    </row>
    <row r="1285" spans="1:1" x14ac:dyDescent="0.25">
      <c r="A1285" s="7"/>
    </row>
    <row r="1286" spans="1:1" x14ac:dyDescent="0.25">
      <c r="A1286" s="7"/>
    </row>
    <row r="1287" spans="1:1" x14ac:dyDescent="0.25">
      <c r="A1287" s="7"/>
    </row>
    <row r="1288" spans="1:1" x14ac:dyDescent="0.25">
      <c r="A1288" s="7"/>
    </row>
    <row r="1289" spans="1:1" x14ac:dyDescent="0.25">
      <c r="A1289" s="7"/>
    </row>
    <row r="1290" spans="1:1" x14ac:dyDescent="0.25">
      <c r="A1290" s="7"/>
    </row>
    <row r="1291" spans="1:1" x14ac:dyDescent="0.25">
      <c r="A1291" s="7"/>
    </row>
    <row r="1292" spans="1:1" x14ac:dyDescent="0.25">
      <c r="A1292" s="7"/>
    </row>
    <row r="1293" spans="1:1" x14ac:dyDescent="0.25">
      <c r="A1293" s="7"/>
    </row>
    <row r="1294" spans="1:1" x14ac:dyDescent="0.25">
      <c r="A1294" s="7"/>
    </row>
    <row r="1295" spans="1:1" x14ac:dyDescent="0.25">
      <c r="A1295" s="7"/>
    </row>
    <row r="1296" spans="1:1" x14ac:dyDescent="0.25">
      <c r="A1296" s="7"/>
    </row>
    <row r="1297" spans="1:1" x14ac:dyDescent="0.25">
      <c r="A1297" s="7"/>
    </row>
    <row r="1298" spans="1:1" x14ac:dyDescent="0.25">
      <c r="A1298" s="7"/>
    </row>
    <row r="1299" spans="1:1" x14ac:dyDescent="0.25">
      <c r="A1299" s="7"/>
    </row>
    <row r="1300" spans="1:1" x14ac:dyDescent="0.25">
      <c r="A1300" s="7"/>
    </row>
    <row r="1301" spans="1:1" x14ac:dyDescent="0.25">
      <c r="A1301" s="7"/>
    </row>
    <row r="1302" spans="1:1" x14ac:dyDescent="0.25">
      <c r="A1302" s="7"/>
    </row>
    <row r="1303" spans="1:1" x14ac:dyDescent="0.25">
      <c r="A1303" s="7"/>
    </row>
    <row r="1304" spans="1:1" x14ac:dyDescent="0.25">
      <c r="A1304" s="7"/>
    </row>
    <row r="1305" spans="1:1" x14ac:dyDescent="0.25">
      <c r="A1305" s="7"/>
    </row>
    <row r="1306" spans="1:1" x14ac:dyDescent="0.25">
      <c r="A1306" s="7"/>
    </row>
    <row r="1307" spans="1:1" x14ac:dyDescent="0.25">
      <c r="A1307" s="7"/>
    </row>
    <row r="1308" spans="1:1" x14ac:dyDescent="0.25">
      <c r="A1308" s="7"/>
    </row>
    <row r="1309" spans="1:1" x14ac:dyDescent="0.25">
      <c r="A1309" s="7"/>
    </row>
    <row r="1310" spans="1:1" x14ac:dyDescent="0.25">
      <c r="A1310" s="7"/>
    </row>
    <row r="1311" spans="1:1" x14ac:dyDescent="0.25">
      <c r="A1311" s="7"/>
    </row>
    <row r="1312" spans="1:1" x14ac:dyDescent="0.25">
      <c r="A1312" s="7"/>
    </row>
    <row r="1313" spans="1:1" x14ac:dyDescent="0.25">
      <c r="A1313" s="7"/>
    </row>
    <row r="1314" spans="1:1" x14ac:dyDescent="0.25">
      <c r="A1314" s="7"/>
    </row>
    <row r="1315" spans="1:1" x14ac:dyDescent="0.25">
      <c r="A1315" s="7"/>
    </row>
    <row r="1316" spans="1:1" x14ac:dyDescent="0.25">
      <c r="A1316" s="7"/>
    </row>
    <row r="1317" spans="1:1" x14ac:dyDescent="0.25">
      <c r="A1317" s="7"/>
    </row>
    <row r="1318" spans="1:1" x14ac:dyDescent="0.25">
      <c r="A1318" s="7"/>
    </row>
    <row r="1319" spans="1:1" x14ac:dyDescent="0.25">
      <c r="A1319" s="7"/>
    </row>
    <row r="1320" spans="1:1" x14ac:dyDescent="0.25">
      <c r="A1320" s="7"/>
    </row>
    <row r="1321" spans="1:1" x14ac:dyDescent="0.25">
      <c r="A1321" s="7"/>
    </row>
    <row r="1322" spans="1:1" x14ac:dyDescent="0.25">
      <c r="A1322" s="7"/>
    </row>
    <row r="1323" spans="1:1" x14ac:dyDescent="0.25">
      <c r="A1323" s="7"/>
    </row>
    <row r="1324" spans="1:1" x14ac:dyDescent="0.25">
      <c r="A1324" s="7"/>
    </row>
    <row r="1325" spans="1:1" x14ac:dyDescent="0.25">
      <c r="A1325" s="7"/>
    </row>
    <row r="1326" spans="1:1" x14ac:dyDescent="0.25">
      <c r="A1326" s="7"/>
    </row>
    <row r="1327" spans="1:1" x14ac:dyDescent="0.25">
      <c r="A1327" s="7"/>
    </row>
    <row r="1328" spans="1:1" x14ac:dyDescent="0.25">
      <c r="A1328" s="7"/>
    </row>
    <row r="1329" spans="1:1" x14ac:dyDescent="0.25">
      <c r="A1329" s="7"/>
    </row>
    <row r="1330" spans="1:1" x14ac:dyDescent="0.25">
      <c r="A1330" s="7"/>
    </row>
    <row r="1331" spans="1:1" x14ac:dyDescent="0.25">
      <c r="A1331" s="7"/>
    </row>
    <row r="1332" spans="1:1" x14ac:dyDescent="0.25">
      <c r="A1332" s="7"/>
    </row>
    <row r="1333" spans="1:1" x14ac:dyDescent="0.25">
      <c r="A1333" s="7"/>
    </row>
    <row r="1334" spans="1:1" x14ac:dyDescent="0.25">
      <c r="A1334" s="7"/>
    </row>
    <row r="1335" spans="1:1" x14ac:dyDescent="0.25">
      <c r="A1335" s="7"/>
    </row>
    <row r="1336" spans="1:1" x14ac:dyDescent="0.25">
      <c r="A1336" s="7"/>
    </row>
    <row r="1337" spans="1:1" x14ac:dyDescent="0.25">
      <c r="A1337" s="7"/>
    </row>
    <row r="1338" spans="1:1" x14ac:dyDescent="0.25">
      <c r="A1338" s="7"/>
    </row>
    <row r="1339" spans="1:1" x14ac:dyDescent="0.25">
      <c r="A1339" s="7"/>
    </row>
    <row r="1340" spans="1:1" x14ac:dyDescent="0.25">
      <c r="A1340" s="7"/>
    </row>
    <row r="1341" spans="1:1" x14ac:dyDescent="0.25">
      <c r="A1341" s="7"/>
    </row>
    <row r="1342" spans="1:1" x14ac:dyDescent="0.25">
      <c r="A1342" s="7"/>
    </row>
    <row r="1343" spans="1:1" x14ac:dyDescent="0.25">
      <c r="A1343" s="7"/>
    </row>
    <row r="1344" spans="1:1" x14ac:dyDescent="0.25">
      <c r="A1344" s="7"/>
    </row>
    <row r="1345" spans="1:1" x14ac:dyDescent="0.25">
      <c r="A1345" s="7"/>
    </row>
    <row r="1346" spans="1:1" x14ac:dyDescent="0.25">
      <c r="A1346" s="7"/>
    </row>
    <row r="1347" spans="1:1" x14ac:dyDescent="0.25">
      <c r="A1347" s="7"/>
    </row>
    <row r="1348" spans="1:1" x14ac:dyDescent="0.25">
      <c r="A1348" s="7"/>
    </row>
    <row r="1349" spans="1:1" x14ac:dyDescent="0.25">
      <c r="A1349" s="7"/>
    </row>
    <row r="1350" spans="1:1" x14ac:dyDescent="0.25">
      <c r="A1350" s="7"/>
    </row>
    <row r="1351" spans="1:1" x14ac:dyDescent="0.25">
      <c r="A1351" s="7"/>
    </row>
    <row r="1352" spans="1:1" x14ac:dyDescent="0.25">
      <c r="A1352" s="7"/>
    </row>
    <row r="1353" spans="1:1" x14ac:dyDescent="0.25">
      <c r="A1353" s="7"/>
    </row>
    <row r="1354" spans="1:1" x14ac:dyDescent="0.25">
      <c r="A1354" s="7"/>
    </row>
    <row r="1355" spans="1:1" x14ac:dyDescent="0.25">
      <c r="A1355" s="7"/>
    </row>
    <row r="1356" spans="1:1" x14ac:dyDescent="0.25">
      <c r="A1356" s="7"/>
    </row>
    <row r="1357" spans="1:1" x14ac:dyDescent="0.25">
      <c r="A1357" s="7"/>
    </row>
    <row r="1358" spans="1:1" x14ac:dyDescent="0.25">
      <c r="A1358" s="7"/>
    </row>
    <row r="1359" spans="1:1" x14ac:dyDescent="0.25">
      <c r="A1359" s="7"/>
    </row>
    <row r="1360" spans="1:1" x14ac:dyDescent="0.25">
      <c r="A1360" s="7"/>
    </row>
    <row r="1361" spans="1:1" x14ac:dyDescent="0.25">
      <c r="A1361" s="7"/>
    </row>
    <row r="1362" spans="1:1" x14ac:dyDescent="0.25">
      <c r="A1362" s="7"/>
    </row>
    <row r="1363" spans="1:1" x14ac:dyDescent="0.25">
      <c r="A1363" s="7"/>
    </row>
    <row r="1364" spans="1:1" x14ac:dyDescent="0.25">
      <c r="A1364" s="7"/>
    </row>
    <row r="1365" spans="1:1" x14ac:dyDescent="0.25">
      <c r="A1365" s="7"/>
    </row>
    <row r="1366" spans="1:1" x14ac:dyDescent="0.25">
      <c r="A1366" s="7"/>
    </row>
    <row r="1367" spans="1:1" x14ac:dyDescent="0.25">
      <c r="A1367" s="7"/>
    </row>
    <row r="1368" spans="1:1" x14ac:dyDescent="0.25">
      <c r="A1368" s="7"/>
    </row>
    <row r="1369" spans="1:1" x14ac:dyDescent="0.25">
      <c r="A1369" s="7"/>
    </row>
    <row r="1370" spans="1:1" x14ac:dyDescent="0.25">
      <c r="A1370" s="7"/>
    </row>
    <row r="1371" spans="1:1" x14ac:dyDescent="0.25">
      <c r="A1371" s="7"/>
    </row>
    <row r="1372" spans="1:1" x14ac:dyDescent="0.25">
      <c r="A1372" s="7"/>
    </row>
    <row r="1373" spans="1:1" x14ac:dyDescent="0.25">
      <c r="A1373" s="7"/>
    </row>
    <row r="1374" spans="1:1" x14ac:dyDescent="0.25">
      <c r="A1374" s="7"/>
    </row>
    <row r="1375" spans="1:1" x14ac:dyDescent="0.25">
      <c r="A1375" s="7"/>
    </row>
    <row r="1376" spans="1:1" x14ac:dyDescent="0.25">
      <c r="A1376" s="7"/>
    </row>
    <row r="1377" spans="1:1" x14ac:dyDescent="0.25">
      <c r="A1377" s="7"/>
    </row>
    <row r="1378" spans="1:1" x14ac:dyDescent="0.25">
      <c r="A1378" s="7"/>
    </row>
    <row r="1379" spans="1:1" x14ac:dyDescent="0.25">
      <c r="A1379" s="7"/>
    </row>
    <row r="1380" spans="1:1" x14ac:dyDescent="0.25">
      <c r="A1380" s="7"/>
    </row>
    <row r="1381" spans="1:1" x14ac:dyDescent="0.25">
      <c r="A1381" s="7"/>
    </row>
    <row r="1382" spans="1:1" x14ac:dyDescent="0.25">
      <c r="A1382" s="7"/>
    </row>
    <row r="1383" spans="1:1" x14ac:dyDescent="0.25">
      <c r="A1383" s="7"/>
    </row>
    <row r="1384" spans="1:1" x14ac:dyDescent="0.25">
      <c r="A1384" s="7"/>
    </row>
    <row r="1385" spans="1:1" x14ac:dyDescent="0.25">
      <c r="A1385" s="7"/>
    </row>
    <row r="1386" spans="1:1" x14ac:dyDescent="0.25">
      <c r="A1386" s="7"/>
    </row>
    <row r="1387" spans="1:1" x14ac:dyDescent="0.25">
      <c r="A1387" s="7"/>
    </row>
    <row r="1388" spans="1:1" x14ac:dyDescent="0.25">
      <c r="A1388" s="7"/>
    </row>
    <row r="1389" spans="1:1" x14ac:dyDescent="0.25">
      <c r="A1389" s="7"/>
    </row>
    <row r="1390" spans="1:1" x14ac:dyDescent="0.25">
      <c r="A1390" s="7"/>
    </row>
    <row r="1391" spans="1:1" x14ac:dyDescent="0.25">
      <c r="A1391" s="7"/>
    </row>
    <row r="1392" spans="1:1" x14ac:dyDescent="0.25">
      <c r="A1392" s="7"/>
    </row>
    <row r="1393" spans="1:1" x14ac:dyDescent="0.25">
      <c r="A1393" s="7"/>
    </row>
    <row r="1394" spans="1:1" x14ac:dyDescent="0.25">
      <c r="A1394" s="7"/>
    </row>
    <row r="1395" spans="1:1" x14ac:dyDescent="0.25">
      <c r="A1395" s="7"/>
    </row>
    <row r="1396" spans="1:1" x14ac:dyDescent="0.25">
      <c r="A1396" s="7"/>
    </row>
    <row r="1397" spans="1:1" x14ac:dyDescent="0.25">
      <c r="A1397" s="7"/>
    </row>
    <row r="1398" spans="1:1" x14ac:dyDescent="0.25">
      <c r="A1398" s="7"/>
    </row>
    <row r="1399" spans="1:1" x14ac:dyDescent="0.25">
      <c r="A1399" s="7"/>
    </row>
    <row r="1400" spans="1:1" x14ac:dyDescent="0.25">
      <c r="A1400" s="7"/>
    </row>
    <row r="1401" spans="1:1" x14ac:dyDescent="0.25">
      <c r="A1401" s="7"/>
    </row>
    <row r="1402" spans="1:1" x14ac:dyDescent="0.25">
      <c r="A1402" s="7"/>
    </row>
    <row r="1403" spans="1:1" x14ac:dyDescent="0.25">
      <c r="A1403" s="7"/>
    </row>
    <row r="1404" spans="1:1" x14ac:dyDescent="0.25">
      <c r="A1404" s="7"/>
    </row>
    <row r="1405" spans="1:1" x14ac:dyDescent="0.25">
      <c r="A1405" s="7"/>
    </row>
    <row r="1406" spans="1:1" x14ac:dyDescent="0.25">
      <c r="A1406" s="7"/>
    </row>
    <row r="1407" spans="1:1" x14ac:dyDescent="0.25">
      <c r="A1407" s="7"/>
    </row>
    <row r="1408" spans="1:1" x14ac:dyDescent="0.25">
      <c r="A1408" s="7"/>
    </row>
    <row r="1409" spans="1:1" x14ac:dyDescent="0.25">
      <c r="A1409" s="7"/>
    </row>
    <row r="1410" spans="1:1" x14ac:dyDescent="0.25">
      <c r="A1410" s="7"/>
    </row>
    <row r="1411" spans="1:1" x14ac:dyDescent="0.25">
      <c r="A1411" s="7"/>
    </row>
    <row r="1412" spans="1:1" x14ac:dyDescent="0.25">
      <c r="A1412" s="7"/>
    </row>
    <row r="1413" spans="1:1" x14ac:dyDescent="0.25">
      <c r="A1413" s="7"/>
    </row>
    <row r="1414" spans="1:1" x14ac:dyDescent="0.25">
      <c r="A1414" s="7"/>
    </row>
    <row r="1415" spans="1:1" x14ac:dyDescent="0.25">
      <c r="A1415" s="7"/>
    </row>
    <row r="1416" spans="1:1" x14ac:dyDescent="0.25">
      <c r="A1416" s="7"/>
    </row>
    <row r="1417" spans="1:1" x14ac:dyDescent="0.25">
      <c r="A1417" s="7"/>
    </row>
    <row r="1418" spans="1:1" x14ac:dyDescent="0.25">
      <c r="A1418" s="7"/>
    </row>
    <row r="1419" spans="1:1" x14ac:dyDescent="0.25">
      <c r="A1419" s="7"/>
    </row>
    <row r="1420" spans="1:1" x14ac:dyDescent="0.25">
      <c r="A1420" s="7"/>
    </row>
    <row r="1421" spans="1:1" x14ac:dyDescent="0.25">
      <c r="A1421" s="7"/>
    </row>
    <row r="1422" spans="1:1" x14ac:dyDescent="0.25">
      <c r="A1422" s="7"/>
    </row>
    <row r="1423" spans="1:1" x14ac:dyDescent="0.25">
      <c r="A1423" s="7"/>
    </row>
    <row r="1424" spans="1:1" x14ac:dyDescent="0.25">
      <c r="A1424" s="7"/>
    </row>
    <row r="1425" spans="1:1" x14ac:dyDescent="0.25">
      <c r="A1425" s="7"/>
    </row>
    <row r="1426" spans="1:1" x14ac:dyDescent="0.25">
      <c r="A1426" s="7"/>
    </row>
    <row r="1427" spans="1:1" x14ac:dyDescent="0.25">
      <c r="A1427" s="7"/>
    </row>
    <row r="1428" spans="1:1" x14ac:dyDescent="0.25">
      <c r="A1428" s="7"/>
    </row>
    <row r="1429" spans="1:1" x14ac:dyDescent="0.25">
      <c r="A1429" s="7"/>
    </row>
    <row r="1430" spans="1:1" x14ac:dyDescent="0.25">
      <c r="A1430" s="7"/>
    </row>
    <row r="1431" spans="1:1" x14ac:dyDescent="0.25">
      <c r="A1431" s="7"/>
    </row>
    <row r="1432" spans="1:1" x14ac:dyDescent="0.25">
      <c r="A1432" s="7"/>
    </row>
    <row r="1433" spans="1:1" x14ac:dyDescent="0.25">
      <c r="A1433" s="7"/>
    </row>
    <row r="1434" spans="1:1" x14ac:dyDescent="0.25">
      <c r="A1434" s="7"/>
    </row>
    <row r="1435" spans="1:1" x14ac:dyDescent="0.25">
      <c r="A1435" s="7"/>
    </row>
    <row r="1436" spans="1:1" x14ac:dyDescent="0.25">
      <c r="A1436" s="7"/>
    </row>
    <row r="1437" spans="1:1" x14ac:dyDescent="0.25">
      <c r="A1437" s="7"/>
    </row>
    <row r="1438" spans="1:1" x14ac:dyDescent="0.25">
      <c r="A1438" s="7"/>
    </row>
    <row r="1439" spans="1:1" x14ac:dyDescent="0.25">
      <c r="A1439" s="7"/>
    </row>
    <row r="1440" spans="1:1" x14ac:dyDescent="0.25">
      <c r="A1440" s="7"/>
    </row>
    <row r="1441" spans="1:1" x14ac:dyDescent="0.25">
      <c r="A1441" s="7"/>
    </row>
    <row r="1442" spans="1:1" x14ac:dyDescent="0.25">
      <c r="A1442" s="7"/>
    </row>
    <row r="1443" spans="1:1" x14ac:dyDescent="0.25">
      <c r="A1443" s="7"/>
    </row>
    <row r="1444" spans="1:1" x14ac:dyDescent="0.25">
      <c r="A1444" s="7"/>
    </row>
    <row r="1445" spans="1:1" x14ac:dyDescent="0.25">
      <c r="A1445" s="7"/>
    </row>
    <row r="1446" spans="1:1" x14ac:dyDescent="0.25">
      <c r="A1446" s="7"/>
    </row>
    <row r="1447" spans="1:1" x14ac:dyDescent="0.25">
      <c r="A1447" s="7"/>
    </row>
    <row r="1448" spans="1:1" x14ac:dyDescent="0.25">
      <c r="A1448" s="7"/>
    </row>
    <row r="1449" spans="1:1" x14ac:dyDescent="0.25">
      <c r="A1449" s="7"/>
    </row>
    <row r="1450" spans="1:1" x14ac:dyDescent="0.25">
      <c r="A1450" s="7"/>
    </row>
    <row r="1451" spans="1:1" x14ac:dyDescent="0.25">
      <c r="A1451" s="7"/>
    </row>
    <row r="1452" spans="1:1" x14ac:dyDescent="0.25">
      <c r="A1452" s="7"/>
    </row>
    <row r="1453" spans="1:1" x14ac:dyDescent="0.25">
      <c r="A1453" s="7"/>
    </row>
    <row r="1454" spans="1:1" x14ac:dyDescent="0.25">
      <c r="A1454" s="7"/>
    </row>
    <row r="1455" spans="1:1" x14ac:dyDescent="0.25">
      <c r="A1455" s="7"/>
    </row>
    <row r="1456" spans="1:1" x14ac:dyDescent="0.25">
      <c r="A1456" s="7"/>
    </row>
    <row r="1457" spans="1:1" x14ac:dyDescent="0.25">
      <c r="A1457" s="7"/>
    </row>
    <row r="1458" spans="1:1" x14ac:dyDescent="0.25">
      <c r="A1458" s="7"/>
    </row>
    <row r="1459" spans="1:1" x14ac:dyDescent="0.25">
      <c r="A1459" s="7"/>
    </row>
    <row r="1460" spans="1:1" x14ac:dyDescent="0.25">
      <c r="A1460" s="7"/>
    </row>
    <row r="1461" spans="1:1" x14ac:dyDescent="0.25">
      <c r="A1461" s="7"/>
    </row>
    <row r="1462" spans="1:1" x14ac:dyDescent="0.25">
      <c r="A1462" s="7"/>
    </row>
    <row r="1463" spans="1:1" x14ac:dyDescent="0.25">
      <c r="A1463" s="7"/>
    </row>
    <row r="1464" spans="1:1" x14ac:dyDescent="0.25">
      <c r="A1464" s="7"/>
    </row>
    <row r="1465" spans="1:1" x14ac:dyDescent="0.25">
      <c r="A1465" s="7"/>
    </row>
    <row r="1466" spans="1:1" x14ac:dyDescent="0.25">
      <c r="A1466" s="7"/>
    </row>
    <row r="1467" spans="1:1" x14ac:dyDescent="0.25">
      <c r="A1467" s="7"/>
    </row>
    <row r="1468" spans="1:1" x14ac:dyDescent="0.25">
      <c r="A1468" s="7"/>
    </row>
    <row r="1469" spans="1:1" x14ac:dyDescent="0.25">
      <c r="A1469" s="7"/>
    </row>
    <row r="1470" spans="1:1" x14ac:dyDescent="0.25">
      <c r="A1470" s="7"/>
    </row>
    <row r="1471" spans="1:1" x14ac:dyDescent="0.25">
      <c r="A1471" s="7"/>
    </row>
    <row r="1472" spans="1:1" x14ac:dyDescent="0.25">
      <c r="A1472" s="7"/>
    </row>
    <row r="1473" spans="1:1" x14ac:dyDescent="0.25">
      <c r="A1473" s="7"/>
    </row>
    <row r="1474" spans="1:1" x14ac:dyDescent="0.25">
      <c r="A1474" s="7"/>
    </row>
    <row r="1475" spans="1:1" x14ac:dyDescent="0.25">
      <c r="A1475" s="7"/>
    </row>
    <row r="1476" spans="1:1" x14ac:dyDescent="0.25">
      <c r="A1476" s="7"/>
    </row>
    <row r="1477" spans="1:1" x14ac:dyDescent="0.25">
      <c r="A1477" s="7"/>
    </row>
    <row r="1478" spans="1:1" x14ac:dyDescent="0.25">
      <c r="A1478" s="7"/>
    </row>
    <row r="1479" spans="1:1" x14ac:dyDescent="0.25">
      <c r="A1479" s="7"/>
    </row>
    <row r="1480" spans="1:1" x14ac:dyDescent="0.25">
      <c r="A1480" s="7"/>
    </row>
    <row r="1481" spans="1:1" x14ac:dyDescent="0.25">
      <c r="A1481" s="7"/>
    </row>
    <row r="1482" spans="1:1" x14ac:dyDescent="0.25">
      <c r="A1482" s="7"/>
    </row>
    <row r="1483" spans="1:1" x14ac:dyDescent="0.25">
      <c r="A1483" s="7"/>
    </row>
    <row r="1484" spans="1:1" x14ac:dyDescent="0.25">
      <c r="A1484" s="7"/>
    </row>
    <row r="1485" spans="1:1" x14ac:dyDescent="0.25">
      <c r="A1485" s="7"/>
    </row>
    <row r="1486" spans="1:1" x14ac:dyDescent="0.25">
      <c r="A1486" s="7"/>
    </row>
    <row r="1487" spans="1:1" x14ac:dyDescent="0.25">
      <c r="A1487" s="7"/>
    </row>
    <row r="1488" spans="1:1" x14ac:dyDescent="0.25">
      <c r="A1488" s="7"/>
    </row>
    <row r="1489" spans="1:1" x14ac:dyDescent="0.25">
      <c r="A1489" s="7"/>
    </row>
    <row r="1490" spans="1:1" x14ac:dyDescent="0.25">
      <c r="A1490" s="7"/>
    </row>
    <row r="1491" spans="1:1" x14ac:dyDescent="0.25">
      <c r="A1491" s="7"/>
    </row>
    <row r="1492" spans="1:1" x14ac:dyDescent="0.25">
      <c r="A1492" s="7"/>
    </row>
    <row r="1493" spans="1:1" x14ac:dyDescent="0.25">
      <c r="A1493" s="7"/>
    </row>
    <row r="1494" spans="1:1" x14ac:dyDescent="0.25">
      <c r="A1494" s="7"/>
    </row>
    <row r="1495" spans="1:1" x14ac:dyDescent="0.25">
      <c r="A1495" s="7"/>
    </row>
    <row r="1496" spans="1:1" x14ac:dyDescent="0.25">
      <c r="A1496" s="7"/>
    </row>
    <row r="1497" spans="1:1" x14ac:dyDescent="0.25">
      <c r="A1497" s="7"/>
    </row>
    <row r="1498" spans="1:1" x14ac:dyDescent="0.25">
      <c r="A1498" s="7"/>
    </row>
    <row r="1499" spans="1:1" x14ac:dyDescent="0.25">
      <c r="A1499" s="7"/>
    </row>
    <row r="1500" spans="1:1" x14ac:dyDescent="0.25">
      <c r="A1500" s="7"/>
    </row>
    <row r="1501" spans="1:1" x14ac:dyDescent="0.25">
      <c r="A1501" s="7"/>
    </row>
    <row r="1502" spans="1:1" x14ac:dyDescent="0.25">
      <c r="A1502" s="7"/>
    </row>
    <row r="1503" spans="1:1" x14ac:dyDescent="0.25">
      <c r="A1503" s="7"/>
    </row>
    <row r="1504" spans="1:1" x14ac:dyDescent="0.25">
      <c r="A1504" s="7"/>
    </row>
    <row r="1505" spans="1:1" x14ac:dyDescent="0.25">
      <c r="A1505" s="7"/>
    </row>
    <row r="1506" spans="1:1" x14ac:dyDescent="0.25">
      <c r="A1506" s="7"/>
    </row>
    <row r="1507" spans="1:1" x14ac:dyDescent="0.25">
      <c r="A1507" s="7"/>
    </row>
    <row r="1508" spans="1:1" x14ac:dyDescent="0.25">
      <c r="A1508" s="7"/>
    </row>
    <row r="1509" spans="1:1" x14ac:dyDescent="0.25">
      <c r="A1509" s="7"/>
    </row>
    <row r="1510" spans="1:1" x14ac:dyDescent="0.25">
      <c r="A1510" s="7"/>
    </row>
    <row r="1511" spans="1:1" x14ac:dyDescent="0.25">
      <c r="A1511" s="7"/>
    </row>
    <row r="1512" spans="1:1" x14ac:dyDescent="0.25">
      <c r="A1512" s="7"/>
    </row>
    <row r="1513" spans="1:1" x14ac:dyDescent="0.25">
      <c r="A1513" s="7"/>
    </row>
    <row r="1514" spans="1:1" x14ac:dyDescent="0.25">
      <c r="A1514" s="7"/>
    </row>
    <row r="1515" spans="1:1" x14ac:dyDescent="0.25">
      <c r="A1515" s="7"/>
    </row>
    <row r="1516" spans="1:1" x14ac:dyDescent="0.25">
      <c r="A1516" s="7"/>
    </row>
    <row r="1517" spans="1:1" x14ac:dyDescent="0.25">
      <c r="A1517" s="7"/>
    </row>
    <row r="1518" spans="1:1" x14ac:dyDescent="0.25">
      <c r="A1518" s="7"/>
    </row>
    <row r="1519" spans="1:1" x14ac:dyDescent="0.25">
      <c r="A1519" s="7"/>
    </row>
    <row r="1520" spans="1:1" x14ac:dyDescent="0.25">
      <c r="A1520" s="7"/>
    </row>
    <row r="1521" spans="1:1" x14ac:dyDescent="0.25">
      <c r="A1521" s="7"/>
    </row>
    <row r="1522" spans="1:1" x14ac:dyDescent="0.25">
      <c r="A1522" s="7"/>
    </row>
    <row r="1523" spans="1:1" x14ac:dyDescent="0.25">
      <c r="A1523" s="7"/>
    </row>
    <row r="1524" spans="1:1" x14ac:dyDescent="0.25">
      <c r="A1524" s="7"/>
    </row>
    <row r="1525" spans="1:1" x14ac:dyDescent="0.25">
      <c r="A1525" s="7"/>
    </row>
    <row r="1526" spans="1:1" x14ac:dyDescent="0.25">
      <c r="A1526" s="7"/>
    </row>
    <row r="1527" spans="1:1" x14ac:dyDescent="0.25">
      <c r="A1527" s="7"/>
    </row>
    <row r="1528" spans="1:1" x14ac:dyDescent="0.25">
      <c r="A1528" s="7"/>
    </row>
    <row r="1529" spans="1:1" x14ac:dyDescent="0.25">
      <c r="A1529" s="7"/>
    </row>
    <row r="1530" spans="1:1" x14ac:dyDescent="0.25">
      <c r="A1530" s="7"/>
    </row>
    <row r="1531" spans="1:1" x14ac:dyDescent="0.25">
      <c r="A1531" s="7"/>
    </row>
    <row r="1532" spans="1:1" x14ac:dyDescent="0.25">
      <c r="A1532" s="7"/>
    </row>
    <row r="1533" spans="1:1" x14ac:dyDescent="0.25">
      <c r="A1533" s="7"/>
    </row>
    <row r="1534" spans="1:1" x14ac:dyDescent="0.25">
      <c r="A1534" s="7"/>
    </row>
    <row r="1535" spans="1:1" x14ac:dyDescent="0.25">
      <c r="A1535" s="7"/>
    </row>
    <row r="1536" spans="1:1" x14ac:dyDescent="0.25">
      <c r="A1536" s="7"/>
    </row>
    <row r="1537" spans="1:1" x14ac:dyDescent="0.25">
      <c r="A1537" s="7"/>
    </row>
    <row r="1538" spans="1:1" x14ac:dyDescent="0.25">
      <c r="A1538" s="7"/>
    </row>
    <row r="1539" spans="1:1" x14ac:dyDescent="0.25">
      <c r="A1539" s="7"/>
    </row>
    <row r="1540" spans="1:1" x14ac:dyDescent="0.25">
      <c r="A1540" s="7"/>
    </row>
    <row r="1541" spans="1:1" x14ac:dyDescent="0.25">
      <c r="A1541" s="7"/>
    </row>
    <row r="1542" spans="1:1" x14ac:dyDescent="0.25">
      <c r="A1542" s="7"/>
    </row>
    <row r="1543" spans="1:1" x14ac:dyDescent="0.25">
      <c r="A1543" s="7"/>
    </row>
    <row r="1544" spans="1:1" x14ac:dyDescent="0.25">
      <c r="A1544" s="7"/>
    </row>
    <row r="1545" spans="1:1" x14ac:dyDescent="0.25">
      <c r="A1545" s="7"/>
    </row>
    <row r="1546" spans="1:1" x14ac:dyDescent="0.25">
      <c r="A1546" s="7"/>
    </row>
    <row r="1547" spans="1:1" x14ac:dyDescent="0.25">
      <c r="A1547" s="7"/>
    </row>
    <row r="1548" spans="1:1" x14ac:dyDescent="0.25">
      <c r="A1548" s="7"/>
    </row>
    <row r="1549" spans="1:1" x14ac:dyDescent="0.25">
      <c r="A1549" s="7"/>
    </row>
    <row r="1550" spans="1:1" x14ac:dyDescent="0.25">
      <c r="A1550" s="7"/>
    </row>
    <row r="1551" spans="1:1" x14ac:dyDescent="0.25">
      <c r="A1551" s="7"/>
    </row>
    <row r="1552" spans="1:1" x14ac:dyDescent="0.25">
      <c r="A1552" s="7"/>
    </row>
    <row r="1553" spans="1:1" x14ac:dyDescent="0.25">
      <c r="A1553" s="7"/>
    </row>
    <row r="1554" spans="1:1" x14ac:dyDescent="0.25">
      <c r="A1554" s="7"/>
    </row>
    <row r="1555" spans="1:1" x14ac:dyDescent="0.25">
      <c r="A1555" s="7"/>
    </row>
    <row r="1556" spans="1:1" x14ac:dyDescent="0.25">
      <c r="A1556" s="7"/>
    </row>
    <row r="1557" spans="1:1" x14ac:dyDescent="0.25">
      <c r="A1557" s="7"/>
    </row>
    <row r="1558" spans="1:1" x14ac:dyDescent="0.25">
      <c r="A1558" s="7"/>
    </row>
    <row r="1559" spans="1:1" x14ac:dyDescent="0.25">
      <c r="A1559" s="7"/>
    </row>
    <row r="1560" spans="1:1" x14ac:dyDescent="0.25">
      <c r="A1560" s="7"/>
    </row>
    <row r="1561" spans="1:1" x14ac:dyDescent="0.25">
      <c r="A1561" s="7"/>
    </row>
    <row r="1562" spans="1:1" x14ac:dyDescent="0.25">
      <c r="A1562" s="7"/>
    </row>
    <row r="1563" spans="1:1" x14ac:dyDescent="0.25">
      <c r="A1563" s="7"/>
    </row>
    <row r="1564" spans="1:1" x14ac:dyDescent="0.25">
      <c r="A1564" s="7"/>
    </row>
    <row r="1565" spans="1:1" x14ac:dyDescent="0.25">
      <c r="A1565" s="7"/>
    </row>
    <row r="1566" spans="1:1" x14ac:dyDescent="0.25">
      <c r="A1566" s="7"/>
    </row>
    <row r="1567" spans="1:1" x14ac:dyDescent="0.25">
      <c r="A1567" s="7"/>
    </row>
    <row r="1568" spans="1:1" x14ac:dyDescent="0.25">
      <c r="A1568" s="7"/>
    </row>
    <row r="1569" spans="1:1" x14ac:dyDescent="0.25">
      <c r="A1569" s="7"/>
    </row>
    <row r="1570" spans="1:1" x14ac:dyDescent="0.25">
      <c r="A1570" s="7"/>
    </row>
    <row r="1571" spans="1:1" x14ac:dyDescent="0.25">
      <c r="A1571" s="7"/>
    </row>
    <row r="1572" spans="1:1" x14ac:dyDescent="0.25">
      <c r="A1572" s="7"/>
    </row>
    <row r="1573" spans="1:1" x14ac:dyDescent="0.25">
      <c r="A1573" s="7"/>
    </row>
    <row r="1574" spans="1:1" x14ac:dyDescent="0.25">
      <c r="A1574" s="7"/>
    </row>
    <row r="1575" spans="1:1" x14ac:dyDescent="0.25">
      <c r="A1575" s="7"/>
    </row>
    <row r="1576" spans="1:1" x14ac:dyDescent="0.25">
      <c r="A1576" s="7"/>
    </row>
    <row r="1577" spans="1:1" x14ac:dyDescent="0.25">
      <c r="A1577" s="7"/>
    </row>
    <row r="1578" spans="1:1" x14ac:dyDescent="0.25">
      <c r="A1578" s="7"/>
    </row>
    <row r="1579" spans="1:1" x14ac:dyDescent="0.25">
      <c r="A1579" s="7"/>
    </row>
    <row r="1580" spans="1:1" x14ac:dyDescent="0.25">
      <c r="A1580" s="7"/>
    </row>
    <row r="1581" spans="1:1" x14ac:dyDescent="0.25">
      <c r="A1581" s="7"/>
    </row>
    <row r="1582" spans="1:1" x14ac:dyDescent="0.25">
      <c r="A1582" s="7"/>
    </row>
    <row r="1583" spans="1:1" x14ac:dyDescent="0.25">
      <c r="A1583" s="7"/>
    </row>
    <row r="1584" spans="1:1" x14ac:dyDescent="0.25">
      <c r="A1584" s="7"/>
    </row>
    <row r="1585" spans="1:1" x14ac:dyDescent="0.25">
      <c r="A1585" s="7"/>
    </row>
    <row r="1586" spans="1:1" x14ac:dyDescent="0.25">
      <c r="A1586" s="7"/>
    </row>
    <row r="1587" spans="1:1" x14ac:dyDescent="0.25">
      <c r="A1587" s="7"/>
    </row>
    <row r="1588" spans="1:1" x14ac:dyDescent="0.25">
      <c r="A1588" s="7"/>
    </row>
    <row r="1589" spans="1:1" x14ac:dyDescent="0.25">
      <c r="A1589" s="7"/>
    </row>
    <row r="1590" spans="1:1" x14ac:dyDescent="0.25">
      <c r="A1590" s="7"/>
    </row>
    <row r="1591" spans="1:1" x14ac:dyDescent="0.25">
      <c r="A1591" s="7"/>
    </row>
    <row r="1592" spans="1:1" x14ac:dyDescent="0.25">
      <c r="A1592" s="7"/>
    </row>
    <row r="1593" spans="1:1" x14ac:dyDescent="0.25">
      <c r="A1593" s="7"/>
    </row>
    <row r="1594" spans="1:1" x14ac:dyDescent="0.25">
      <c r="A1594" s="7"/>
    </row>
    <row r="1595" spans="1:1" x14ac:dyDescent="0.25">
      <c r="A1595" s="7"/>
    </row>
    <row r="1596" spans="1:1" x14ac:dyDescent="0.25">
      <c r="A1596" s="7"/>
    </row>
    <row r="1597" spans="1:1" x14ac:dyDescent="0.25">
      <c r="A1597" s="7"/>
    </row>
    <row r="1598" spans="1:1" x14ac:dyDescent="0.25">
      <c r="A1598" s="7"/>
    </row>
    <row r="1599" spans="1:1" x14ac:dyDescent="0.25">
      <c r="A1599" s="7"/>
    </row>
    <row r="1600" spans="1:1" x14ac:dyDescent="0.25">
      <c r="A1600" s="7"/>
    </row>
    <row r="1601" spans="1:1" x14ac:dyDescent="0.25">
      <c r="A1601" s="7"/>
    </row>
    <row r="1602" spans="1:1" x14ac:dyDescent="0.25">
      <c r="A1602" s="7"/>
    </row>
    <row r="1603" spans="1:1" x14ac:dyDescent="0.25">
      <c r="A1603" s="7"/>
    </row>
    <row r="1604" spans="1:1" x14ac:dyDescent="0.25">
      <c r="A1604" s="7"/>
    </row>
    <row r="1605" spans="1:1" x14ac:dyDescent="0.25">
      <c r="A1605" s="7"/>
    </row>
    <row r="1606" spans="1:1" x14ac:dyDescent="0.25">
      <c r="A1606" s="7"/>
    </row>
    <row r="1607" spans="1:1" x14ac:dyDescent="0.25">
      <c r="A1607" s="7"/>
    </row>
    <row r="1608" spans="1:1" x14ac:dyDescent="0.25">
      <c r="A1608" s="7"/>
    </row>
    <row r="1609" spans="1:1" x14ac:dyDescent="0.25">
      <c r="A1609" s="7"/>
    </row>
    <row r="1610" spans="1:1" x14ac:dyDescent="0.25">
      <c r="A1610" s="7"/>
    </row>
    <row r="1611" spans="1:1" x14ac:dyDescent="0.25">
      <c r="A1611" s="7"/>
    </row>
    <row r="1612" spans="1:1" x14ac:dyDescent="0.25">
      <c r="A1612" s="7"/>
    </row>
    <row r="1613" spans="1:1" x14ac:dyDescent="0.25">
      <c r="A1613" s="7"/>
    </row>
    <row r="1614" spans="1:1" x14ac:dyDescent="0.25">
      <c r="A1614" s="7"/>
    </row>
    <row r="1615" spans="1:1" x14ac:dyDescent="0.25">
      <c r="A1615" s="7"/>
    </row>
    <row r="1616" spans="1:1" x14ac:dyDescent="0.25">
      <c r="A1616" s="7"/>
    </row>
    <row r="1617" spans="1:1" x14ac:dyDescent="0.25">
      <c r="A1617" s="7"/>
    </row>
    <row r="1618" spans="1:1" x14ac:dyDescent="0.25">
      <c r="A1618" s="7"/>
    </row>
    <row r="1619" spans="1:1" x14ac:dyDescent="0.25">
      <c r="A1619" s="7"/>
    </row>
    <row r="1620" spans="1:1" x14ac:dyDescent="0.25">
      <c r="A1620" s="7"/>
    </row>
    <row r="1621" spans="1:1" x14ac:dyDescent="0.25">
      <c r="A1621" s="7"/>
    </row>
    <row r="1622" spans="1:1" x14ac:dyDescent="0.25">
      <c r="A1622" s="7"/>
    </row>
    <row r="1623" spans="1:1" x14ac:dyDescent="0.25">
      <c r="A1623" s="7"/>
    </row>
    <row r="1624" spans="1:1" x14ac:dyDescent="0.25">
      <c r="A1624" s="7"/>
    </row>
    <row r="1625" spans="1:1" x14ac:dyDescent="0.25">
      <c r="A1625" s="7"/>
    </row>
    <row r="1626" spans="1:1" x14ac:dyDescent="0.25">
      <c r="A1626" s="7"/>
    </row>
    <row r="1627" spans="1:1" x14ac:dyDescent="0.25">
      <c r="A1627" s="7"/>
    </row>
    <row r="1628" spans="1:1" x14ac:dyDescent="0.25">
      <c r="A1628" s="7"/>
    </row>
    <row r="1629" spans="1:1" x14ac:dyDescent="0.25">
      <c r="A1629" s="7"/>
    </row>
    <row r="1630" spans="1:1" x14ac:dyDescent="0.25">
      <c r="A1630" s="7"/>
    </row>
    <row r="1631" spans="1:1" x14ac:dyDescent="0.25">
      <c r="A1631" s="7"/>
    </row>
    <row r="1632" spans="1:1" x14ac:dyDescent="0.25">
      <c r="A1632" s="7"/>
    </row>
    <row r="1633" spans="1:1" x14ac:dyDescent="0.25">
      <c r="A1633" s="7"/>
    </row>
    <row r="1634" spans="1:1" x14ac:dyDescent="0.25">
      <c r="A1634" s="7"/>
    </row>
    <row r="1635" spans="1:1" x14ac:dyDescent="0.25">
      <c r="A1635" s="7"/>
    </row>
    <row r="1636" spans="1:1" x14ac:dyDescent="0.25">
      <c r="A1636" s="7"/>
    </row>
    <row r="1637" spans="1:1" x14ac:dyDescent="0.25">
      <c r="A1637" s="7"/>
    </row>
    <row r="1638" spans="1:1" x14ac:dyDescent="0.25">
      <c r="A1638" s="7"/>
    </row>
    <row r="1639" spans="1:1" x14ac:dyDescent="0.25">
      <c r="A1639" s="7"/>
    </row>
    <row r="1640" spans="1:1" x14ac:dyDescent="0.25">
      <c r="A1640" s="7"/>
    </row>
    <row r="1641" spans="1:1" x14ac:dyDescent="0.25">
      <c r="A1641" s="7"/>
    </row>
    <row r="1642" spans="1:1" x14ac:dyDescent="0.25">
      <c r="A1642" s="7"/>
    </row>
    <row r="1643" spans="1:1" x14ac:dyDescent="0.25">
      <c r="A1643" s="7"/>
    </row>
    <row r="1644" spans="1:1" x14ac:dyDescent="0.25">
      <c r="A1644" s="7"/>
    </row>
    <row r="1645" spans="1:1" x14ac:dyDescent="0.25">
      <c r="A1645" s="7"/>
    </row>
    <row r="1646" spans="1:1" x14ac:dyDescent="0.25">
      <c r="A1646" s="7"/>
    </row>
    <row r="1647" spans="1:1" x14ac:dyDescent="0.25">
      <c r="A1647" s="7"/>
    </row>
    <row r="1648" spans="1:1" x14ac:dyDescent="0.25">
      <c r="A1648" s="7"/>
    </row>
    <row r="1649" spans="1:1" x14ac:dyDescent="0.25">
      <c r="A1649" s="7"/>
    </row>
    <row r="1650" spans="1:1" x14ac:dyDescent="0.25">
      <c r="A1650" s="7"/>
    </row>
    <row r="1651" spans="1:1" x14ac:dyDescent="0.25">
      <c r="A1651" s="7"/>
    </row>
    <row r="1652" spans="1:1" x14ac:dyDescent="0.25">
      <c r="A1652" s="7"/>
    </row>
    <row r="1653" spans="1:1" x14ac:dyDescent="0.25">
      <c r="A1653" s="7"/>
    </row>
    <row r="1654" spans="1:1" x14ac:dyDescent="0.25">
      <c r="A1654" s="7"/>
    </row>
    <row r="1655" spans="1:1" x14ac:dyDescent="0.25">
      <c r="A1655" s="7"/>
    </row>
    <row r="1656" spans="1:1" x14ac:dyDescent="0.25">
      <c r="A1656" s="7"/>
    </row>
    <row r="1657" spans="1:1" x14ac:dyDescent="0.25">
      <c r="A1657" s="7"/>
    </row>
    <row r="1658" spans="1:1" x14ac:dyDescent="0.25">
      <c r="A1658" s="7"/>
    </row>
    <row r="1659" spans="1:1" x14ac:dyDescent="0.25">
      <c r="A1659" s="7"/>
    </row>
    <row r="1660" spans="1:1" x14ac:dyDescent="0.25">
      <c r="A1660" s="7"/>
    </row>
    <row r="1661" spans="1:1" x14ac:dyDescent="0.25">
      <c r="A1661" s="7"/>
    </row>
    <row r="1662" spans="1:1" x14ac:dyDescent="0.25">
      <c r="A1662" s="7"/>
    </row>
    <row r="1663" spans="1:1" x14ac:dyDescent="0.25">
      <c r="A1663" s="7"/>
    </row>
    <row r="1664" spans="1:1" x14ac:dyDescent="0.25">
      <c r="A1664" s="7"/>
    </row>
    <row r="1665" spans="1:1" x14ac:dyDescent="0.25">
      <c r="A1665" s="7"/>
    </row>
    <row r="1666" spans="1:1" x14ac:dyDescent="0.25">
      <c r="A1666" s="7"/>
    </row>
    <row r="1667" spans="1:1" x14ac:dyDescent="0.25">
      <c r="A1667" s="7"/>
    </row>
    <row r="1668" spans="1:1" x14ac:dyDescent="0.25">
      <c r="A1668" s="7"/>
    </row>
    <row r="1669" spans="1:1" x14ac:dyDescent="0.25">
      <c r="A1669" s="7"/>
    </row>
    <row r="1670" spans="1:1" x14ac:dyDescent="0.25">
      <c r="A1670" s="7"/>
    </row>
    <row r="1671" spans="1:1" x14ac:dyDescent="0.25">
      <c r="A1671" s="7"/>
    </row>
    <row r="1672" spans="1:1" x14ac:dyDescent="0.25">
      <c r="A1672" s="7"/>
    </row>
    <row r="1673" spans="1:1" x14ac:dyDescent="0.25">
      <c r="A1673" s="7"/>
    </row>
    <row r="1674" spans="1:1" x14ac:dyDescent="0.25">
      <c r="A1674" s="7"/>
    </row>
    <row r="1675" spans="1:1" x14ac:dyDescent="0.25">
      <c r="A1675" s="7"/>
    </row>
    <row r="1676" spans="1:1" x14ac:dyDescent="0.25">
      <c r="A1676" s="7"/>
    </row>
    <row r="1677" spans="1:1" x14ac:dyDescent="0.25">
      <c r="A1677" s="7"/>
    </row>
    <row r="1678" spans="1:1" x14ac:dyDescent="0.25">
      <c r="A1678" s="7"/>
    </row>
    <row r="1679" spans="1:1" x14ac:dyDescent="0.25">
      <c r="A1679" s="7"/>
    </row>
    <row r="1680" spans="1:1" x14ac:dyDescent="0.25">
      <c r="A1680" s="7"/>
    </row>
    <row r="1681" spans="1:1" x14ac:dyDescent="0.25">
      <c r="A1681" s="7"/>
    </row>
    <row r="1682" spans="1:1" x14ac:dyDescent="0.25">
      <c r="A1682" s="7"/>
    </row>
    <row r="1683" spans="1:1" x14ac:dyDescent="0.25">
      <c r="A1683" s="7"/>
    </row>
    <row r="1684" spans="1:1" x14ac:dyDescent="0.25">
      <c r="A1684" s="7"/>
    </row>
    <row r="1685" spans="1:1" x14ac:dyDescent="0.25">
      <c r="A1685" s="7"/>
    </row>
    <row r="1686" spans="1:1" x14ac:dyDescent="0.25">
      <c r="A1686" s="7"/>
    </row>
    <row r="1687" spans="1:1" x14ac:dyDescent="0.25">
      <c r="A1687" s="7"/>
    </row>
    <row r="1688" spans="1:1" x14ac:dyDescent="0.25">
      <c r="A1688" s="7"/>
    </row>
    <row r="1689" spans="1:1" x14ac:dyDescent="0.25">
      <c r="A1689" s="7"/>
    </row>
    <row r="1690" spans="1:1" x14ac:dyDescent="0.25">
      <c r="A1690" s="7"/>
    </row>
    <row r="1691" spans="1:1" x14ac:dyDescent="0.25">
      <c r="A1691" s="7"/>
    </row>
    <row r="1692" spans="1:1" x14ac:dyDescent="0.25">
      <c r="A1692" s="7"/>
    </row>
    <row r="1693" spans="1:1" x14ac:dyDescent="0.25">
      <c r="A1693" s="7"/>
    </row>
    <row r="1694" spans="1:1" x14ac:dyDescent="0.25">
      <c r="A1694" s="7"/>
    </row>
    <row r="1695" spans="1:1" x14ac:dyDescent="0.25">
      <c r="A1695" s="7"/>
    </row>
    <row r="1696" spans="1:1" x14ac:dyDescent="0.25">
      <c r="A1696" s="7"/>
    </row>
    <row r="1697" spans="1:1" x14ac:dyDescent="0.25">
      <c r="A1697" s="7"/>
    </row>
    <row r="1698" spans="1:1" x14ac:dyDescent="0.25">
      <c r="A1698" s="7"/>
    </row>
    <row r="1699" spans="1:1" x14ac:dyDescent="0.25">
      <c r="A1699" s="7"/>
    </row>
    <row r="1700" spans="1:1" x14ac:dyDescent="0.25">
      <c r="A1700" s="7"/>
    </row>
    <row r="1701" spans="1:1" x14ac:dyDescent="0.25">
      <c r="A1701" s="7"/>
    </row>
    <row r="1702" spans="1:1" x14ac:dyDescent="0.25">
      <c r="A1702" s="7"/>
    </row>
    <row r="1703" spans="1:1" x14ac:dyDescent="0.25">
      <c r="A1703" s="7"/>
    </row>
    <row r="1704" spans="1:1" x14ac:dyDescent="0.25">
      <c r="A1704" s="7"/>
    </row>
    <row r="1705" spans="1:1" x14ac:dyDescent="0.25">
      <c r="A1705" s="7"/>
    </row>
    <row r="1706" spans="1:1" x14ac:dyDescent="0.25">
      <c r="A1706" s="7"/>
    </row>
    <row r="1707" spans="1:1" x14ac:dyDescent="0.25">
      <c r="A1707" s="7"/>
    </row>
    <row r="1708" spans="1:1" x14ac:dyDescent="0.25">
      <c r="A1708" s="7"/>
    </row>
    <row r="1709" spans="1:1" x14ac:dyDescent="0.25">
      <c r="A1709" s="7"/>
    </row>
    <row r="1710" spans="1:1" x14ac:dyDescent="0.25">
      <c r="A1710" s="7"/>
    </row>
    <row r="1711" spans="1:1" x14ac:dyDescent="0.25">
      <c r="A1711" s="7"/>
    </row>
    <row r="1712" spans="1:1" x14ac:dyDescent="0.25">
      <c r="A1712" s="7"/>
    </row>
    <row r="1713" spans="1:1" x14ac:dyDescent="0.25">
      <c r="A1713" s="7"/>
    </row>
    <row r="1714" spans="1:1" x14ac:dyDescent="0.25">
      <c r="A1714" s="7"/>
    </row>
    <row r="1715" spans="1:1" x14ac:dyDescent="0.25">
      <c r="A1715" s="7"/>
    </row>
    <row r="1716" spans="1:1" x14ac:dyDescent="0.25">
      <c r="A1716" s="7"/>
    </row>
    <row r="1717" spans="1:1" x14ac:dyDescent="0.25">
      <c r="A1717" s="7"/>
    </row>
    <row r="1718" spans="1:1" x14ac:dyDescent="0.25">
      <c r="A1718" s="7"/>
    </row>
    <row r="1719" spans="1:1" x14ac:dyDescent="0.25">
      <c r="A1719" s="7"/>
    </row>
    <row r="1720" spans="1:1" x14ac:dyDescent="0.25">
      <c r="A1720" s="7"/>
    </row>
    <row r="1721" spans="1:1" x14ac:dyDescent="0.25">
      <c r="A1721" s="7"/>
    </row>
    <row r="1722" spans="1:1" x14ac:dyDescent="0.25">
      <c r="A1722" s="7"/>
    </row>
    <row r="1723" spans="1:1" x14ac:dyDescent="0.25">
      <c r="A1723" s="7"/>
    </row>
    <row r="1724" spans="1:1" x14ac:dyDescent="0.25">
      <c r="A1724" s="7"/>
    </row>
    <row r="1725" spans="1:1" x14ac:dyDescent="0.25">
      <c r="A1725" s="7"/>
    </row>
    <row r="1726" spans="1:1" x14ac:dyDescent="0.25">
      <c r="A1726" s="7"/>
    </row>
    <row r="1727" spans="1:1" x14ac:dyDescent="0.25">
      <c r="A1727" s="7"/>
    </row>
    <row r="1728" spans="1:1" x14ac:dyDescent="0.25">
      <c r="A1728" s="7"/>
    </row>
    <row r="1729" spans="1:1" x14ac:dyDescent="0.25">
      <c r="A1729" s="7"/>
    </row>
    <row r="1730" spans="1:1" x14ac:dyDescent="0.25">
      <c r="A1730" s="7"/>
    </row>
    <row r="1731" spans="1:1" x14ac:dyDescent="0.25">
      <c r="A1731" s="7"/>
    </row>
    <row r="1732" spans="1:1" x14ac:dyDescent="0.25">
      <c r="A1732" s="7"/>
    </row>
    <row r="1733" spans="1:1" x14ac:dyDescent="0.25">
      <c r="A1733" s="7"/>
    </row>
    <row r="1734" spans="1:1" x14ac:dyDescent="0.25">
      <c r="A1734" s="7"/>
    </row>
    <row r="1735" spans="1:1" x14ac:dyDescent="0.25">
      <c r="A1735" s="7"/>
    </row>
    <row r="1736" spans="1:1" x14ac:dyDescent="0.25">
      <c r="A1736" s="7"/>
    </row>
    <row r="1737" spans="1:1" x14ac:dyDescent="0.25">
      <c r="A1737" s="7"/>
    </row>
    <row r="1738" spans="1:1" x14ac:dyDescent="0.25">
      <c r="A1738" s="7"/>
    </row>
    <row r="1739" spans="1:1" x14ac:dyDescent="0.25">
      <c r="A1739" s="7"/>
    </row>
    <row r="1740" spans="1:1" x14ac:dyDescent="0.25">
      <c r="A1740" s="7"/>
    </row>
    <row r="1741" spans="1:1" x14ac:dyDescent="0.25">
      <c r="A1741" s="7"/>
    </row>
    <row r="1742" spans="1:1" x14ac:dyDescent="0.25">
      <c r="A1742" s="7"/>
    </row>
    <row r="1743" spans="1:1" x14ac:dyDescent="0.25">
      <c r="A1743" s="7"/>
    </row>
    <row r="1744" spans="1:1" x14ac:dyDescent="0.25">
      <c r="A1744" s="7"/>
    </row>
    <row r="1745" spans="1:1" x14ac:dyDescent="0.25">
      <c r="A1745" s="7"/>
    </row>
    <row r="1746" spans="1:1" x14ac:dyDescent="0.25">
      <c r="A1746" s="7"/>
    </row>
    <row r="1747" spans="1:1" x14ac:dyDescent="0.25">
      <c r="A1747" s="7"/>
    </row>
    <row r="1748" spans="1:1" x14ac:dyDescent="0.25">
      <c r="A1748" s="7"/>
    </row>
    <row r="1749" spans="1:1" x14ac:dyDescent="0.25">
      <c r="A1749" s="7"/>
    </row>
    <row r="1750" spans="1:1" x14ac:dyDescent="0.25">
      <c r="A1750" s="7"/>
    </row>
    <row r="1751" spans="1:1" x14ac:dyDescent="0.25">
      <c r="A1751" s="7"/>
    </row>
    <row r="1752" spans="1:1" x14ac:dyDescent="0.25">
      <c r="A1752" s="7"/>
    </row>
    <row r="1753" spans="1:1" x14ac:dyDescent="0.25">
      <c r="A1753" s="7"/>
    </row>
    <row r="1754" spans="1:1" x14ac:dyDescent="0.25">
      <c r="A1754" s="7"/>
    </row>
    <row r="1755" spans="1:1" x14ac:dyDescent="0.25">
      <c r="A1755" s="7"/>
    </row>
    <row r="1756" spans="1:1" x14ac:dyDescent="0.25">
      <c r="A1756" s="7"/>
    </row>
    <row r="1757" spans="1:1" x14ac:dyDescent="0.25">
      <c r="A1757" s="7"/>
    </row>
    <row r="1758" spans="1:1" x14ac:dyDescent="0.25">
      <c r="A1758" s="7"/>
    </row>
    <row r="1759" spans="1:1" x14ac:dyDescent="0.25">
      <c r="A1759" s="7"/>
    </row>
    <row r="1760" spans="1:1" x14ac:dyDescent="0.25">
      <c r="A1760" s="7"/>
    </row>
    <row r="1761" spans="1:1" x14ac:dyDescent="0.25">
      <c r="A1761" s="7"/>
    </row>
    <row r="1762" spans="1:1" x14ac:dyDescent="0.25">
      <c r="A1762" s="7"/>
    </row>
    <row r="1763" spans="1:1" x14ac:dyDescent="0.25">
      <c r="A1763" s="7"/>
    </row>
    <row r="1764" spans="1:1" x14ac:dyDescent="0.25">
      <c r="A1764" s="7"/>
    </row>
    <row r="1765" spans="1:1" x14ac:dyDescent="0.25">
      <c r="A1765" s="7"/>
    </row>
    <row r="1766" spans="1:1" x14ac:dyDescent="0.25">
      <c r="A1766" s="7"/>
    </row>
    <row r="1767" spans="1:1" x14ac:dyDescent="0.25">
      <c r="A1767" s="7"/>
    </row>
    <row r="1768" spans="1:1" x14ac:dyDescent="0.25">
      <c r="A1768" s="7"/>
    </row>
    <row r="1769" spans="1:1" x14ac:dyDescent="0.25">
      <c r="A1769" s="7"/>
    </row>
    <row r="1770" spans="1:1" x14ac:dyDescent="0.25">
      <c r="A1770" s="7"/>
    </row>
    <row r="1771" spans="1:1" x14ac:dyDescent="0.25">
      <c r="A1771" s="7"/>
    </row>
    <row r="1772" spans="1:1" x14ac:dyDescent="0.25">
      <c r="A1772" s="7"/>
    </row>
    <row r="1773" spans="1:1" x14ac:dyDescent="0.25">
      <c r="A1773" s="7"/>
    </row>
    <row r="1774" spans="1:1" x14ac:dyDescent="0.25">
      <c r="A1774" s="7"/>
    </row>
    <row r="1775" spans="1:1" x14ac:dyDescent="0.25">
      <c r="A1775" s="7"/>
    </row>
    <row r="1776" spans="1:1" x14ac:dyDescent="0.25">
      <c r="A1776" s="7"/>
    </row>
    <row r="1777" spans="1:1" x14ac:dyDescent="0.25">
      <c r="A1777" s="7"/>
    </row>
    <row r="1778" spans="1:1" x14ac:dyDescent="0.25">
      <c r="A1778" s="7"/>
    </row>
    <row r="1779" spans="1:1" x14ac:dyDescent="0.25">
      <c r="A1779" s="7"/>
    </row>
    <row r="1780" spans="1:1" x14ac:dyDescent="0.25">
      <c r="A1780" s="7"/>
    </row>
    <row r="1781" spans="1:1" x14ac:dyDescent="0.25">
      <c r="A1781" s="7"/>
    </row>
    <row r="1782" spans="1:1" x14ac:dyDescent="0.25">
      <c r="A1782" s="7"/>
    </row>
    <row r="1783" spans="1:1" x14ac:dyDescent="0.25">
      <c r="A1783" s="7"/>
    </row>
    <row r="1784" spans="1:1" x14ac:dyDescent="0.25">
      <c r="A1784" s="7"/>
    </row>
    <row r="1785" spans="1:1" x14ac:dyDescent="0.25">
      <c r="A1785" s="7"/>
    </row>
    <row r="1786" spans="1:1" x14ac:dyDescent="0.25">
      <c r="A1786" s="7"/>
    </row>
    <row r="1787" spans="1:1" x14ac:dyDescent="0.25">
      <c r="A1787" s="7"/>
    </row>
    <row r="1788" spans="1:1" x14ac:dyDescent="0.25">
      <c r="A1788" s="7"/>
    </row>
    <row r="1789" spans="1:1" x14ac:dyDescent="0.25">
      <c r="A1789" s="7"/>
    </row>
    <row r="1790" spans="1:1" x14ac:dyDescent="0.25">
      <c r="A1790" s="7"/>
    </row>
    <row r="1791" spans="1:1" x14ac:dyDescent="0.25">
      <c r="A1791" s="7"/>
    </row>
    <row r="1792" spans="1:1" x14ac:dyDescent="0.25">
      <c r="A1792" s="7"/>
    </row>
    <row r="1793" spans="1:1" x14ac:dyDescent="0.25">
      <c r="A1793" s="7"/>
    </row>
    <row r="1794" spans="1:1" x14ac:dyDescent="0.25">
      <c r="A1794" s="7"/>
    </row>
    <row r="1795" spans="1:1" x14ac:dyDescent="0.25">
      <c r="A1795" s="7"/>
    </row>
    <row r="1796" spans="1:1" x14ac:dyDescent="0.25">
      <c r="A1796" s="7"/>
    </row>
    <row r="1797" spans="1:1" x14ac:dyDescent="0.25">
      <c r="A1797" s="7"/>
    </row>
    <row r="1798" spans="1:1" x14ac:dyDescent="0.25">
      <c r="A1798" s="7"/>
    </row>
    <row r="1799" spans="1:1" x14ac:dyDescent="0.25">
      <c r="A1799" s="7"/>
    </row>
    <row r="1800" spans="1:1" x14ac:dyDescent="0.25">
      <c r="A1800" s="7"/>
    </row>
    <row r="1801" spans="1:1" x14ac:dyDescent="0.25">
      <c r="A1801" s="7"/>
    </row>
    <row r="1802" spans="1:1" x14ac:dyDescent="0.25">
      <c r="A1802" s="7"/>
    </row>
    <row r="1803" spans="1:1" x14ac:dyDescent="0.25">
      <c r="A1803" s="7"/>
    </row>
    <row r="1804" spans="1:1" x14ac:dyDescent="0.25">
      <c r="A1804" s="7"/>
    </row>
    <row r="1805" spans="1:1" x14ac:dyDescent="0.25">
      <c r="A1805" s="7"/>
    </row>
    <row r="1806" spans="1:1" x14ac:dyDescent="0.25">
      <c r="A1806" s="7"/>
    </row>
    <row r="1807" spans="1:1" x14ac:dyDescent="0.25">
      <c r="A1807" s="7"/>
    </row>
    <row r="1808" spans="1:1" x14ac:dyDescent="0.25">
      <c r="A1808" s="7"/>
    </row>
    <row r="1809" spans="1:1" x14ac:dyDescent="0.25">
      <c r="A1809" s="7"/>
    </row>
    <row r="1810" spans="1:1" x14ac:dyDescent="0.25">
      <c r="A1810" s="7"/>
    </row>
    <row r="1811" spans="1:1" x14ac:dyDescent="0.25">
      <c r="A1811" s="7"/>
    </row>
    <row r="1812" spans="1:1" x14ac:dyDescent="0.25">
      <c r="A1812" s="7"/>
    </row>
    <row r="1813" spans="1:1" x14ac:dyDescent="0.25">
      <c r="A1813" s="7"/>
    </row>
    <row r="1814" spans="1:1" x14ac:dyDescent="0.25">
      <c r="A1814" s="7"/>
    </row>
    <row r="1815" spans="1:1" x14ac:dyDescent="0.25">
      <c r="A1815" s="7"/>
    </row>
    <row r="1816" spans="1:1" x14ac:dyDescent="0.25">
      <c r="A1816" s="7"/>
    </row>
    <row r="1817" spans="1:1" x14ac:dyDescent="0.25">
      <c r="A1817" s="7"/>
    </row>
    <row r="1818" spans="1:1" x14ac:dyDescent="0.25">
      <c r="A1818" s="7"/>
    </row>
    <row r="1819" spans="1:1" x14ac:dyDescent="0.25">
      <c r="A1819" s="7"/>
    </row>
    <row r="1820" spans="1:1" x14ac:dyDescent="0.25">
      <c r="A1820" s="7"/>
    </row>
    <row r="1821" spans="1:1" x14ac:dyDescent="0.25">
      <c r="A1821" s="7"/>
    </row>
    <row r="1822" spans="1:1" x14ac:dyDescent="0.25">
      <c r="A1822" s="7"/>
    </row>
    <row r="1823" spans="1:1" x14ac:dyDescent="0.25">
      <c r="A1823" s="7"/>
    </row>
    <row r="1824" spans="1:1" x14ac:dyDescent="0.25">
      <c r="A1824" s="7"/>
    </row>
    <row r="1825" spans="1:1" x14ac:dyDescent="0.25">
      <c r="A1825" s="7"/>
    </row>
    <row r="1826" spans="1:1" x14ac:dyDescent="0.25">
      <c r="A1826" s="7"/>
    </row>
    <row r="1827" spans="1:1" x14ac:dyDescent="0.25">
      <c r="A1827" s="7"/>
    </row>
    <row r="1828" spans="1:1" x14ac:dyDescent="0.25">
      <c r="A1828" s="7"/>
    </row>
    <row r="1829" spans="1:1" x14ac:dyDescent="0.25">
      <c r="A1829" s="7"/>
    </row>
    <row r="1830" spans="1:1" x14ac:dyDescent="0.25">
      <c r="A1830" s="7"/>
    </row>
    <row r="1831" spans="1:1" x14ac:dyDescent="0.25">
      <c r="A1831" s="7"/>
    </row>
    <row r="1832" spans="1:1" x14ac:dyDescent="0.25">
      <c r="A1832" s="7"/>
    </row>
    <row r="1833" spans="1:1" x14ac:dyDescent="0.25">
      <c r="A1833" s="7"/>
    </row>
    <row r="1834" spans="1:1" x14ac:dyDescent="0.25">
      <c r="A1834" s="7"/>
    </row>
    <row r="1835" spans="1:1" x14ac:dyDescent="0.25">
      <c r="A1835" s="7"/>
    </row>
    <row r="1836" spans="1:1" x14ac:dyDescent="0.25">
      <c r="A1836" s="7"/>
    </row>
    <row r="1837" spans="1:1" x14ac:dyDescent="0.25">
      <c r="A1837" s="7"/>
    </row>
    <row r="1838" spans="1:1" x14ac:dyDescent="0.25">
      <c r="A1838" s="7"/>
    </row>
    <row r="1839" spans="1:1" x14ac:dyDescent="0.25">
      <c r="A1839" s="7"/>
    </row>
    <row r="1840" spans="1:1" x14ac:dyDescent="0.25">
      <c r="A1840" s="7"/>
    </row>
    <row r="1841" spans="1:1" x14ac:dyDescent="0.25">
      <c r="A1841" s="7"/>
    </row>
    <row r="1842" spans="1:1" x14ac:dyDescent="0.25">
      <c r="A1842" s="7"/>
    </row>
    <row r="1843" spans="1:1" x14ac:dyDescent="0.25">
      <c r="A1843" s="7"/>
    </row>
    <row r="1844" spans="1:1" x14ac:dyDescent="0.25">
      <c r="A1844" s="7"/>
    </row>
    <row r="1845" spans="1:1" x14ac:dyDescent="0.25">
      <c r="A1845" s="7"/>
    </row>
    <row r="1846" spans="1:1" x14ac:dyDescent="0.25">
      <c r="A1846" s="7"/>
    </row>
    <row r="1847" spans="1:1" x14ac:dyDescent="0.25">
      <c r="A1847" s="7"/>
    </row>
    <row r="1848" spans="1:1" x14ac:dyDescent="0.25">
      <c r="A1848" s="7"/>
    </row>
    <row r="1849" spans="1:1" x14ac:dyDescent="0.25">
      <c r="A1849" s="7"/>
    </row>
    <row r="1850" spans="1:1" x14ac:dyDescent="0.25">
      <c r="A1850" s="7"/>
    </row>
    <row r="1851" spans="1:1" x14ac:dyDescent="0.25">
      <c r="A1851" s="7"/>
    </row>
    <row r="1852" spans="1:1" x14ac:dyDescent="0.25">
      <c r="A1852" s="7"/>
    </row>
    <row r="1853" spans="1:1" x14ac:dyDescent="0.25">
      <c r="A1853" s="7"/>
    </row>
    <row r="1854" spans="1:1" x14ac:dyDescent="0.25">
      <c r="A1854" s="7"/>
    </row>
    <row r="1855" spans="1:1" x14ac:dyDescent="0.25">
      <c r="A1855" s="7"/>
    </row>
    <row r="1856" spans="1:1" x14ac:dyDescent="0.25">
      <c r="A1856" s="7"/>
    </row>
    <row r="1857" spans="1:1" x14ac:dyDescent="0.25">
      <c r="A1857" s="7"/>
    </row>
    <row r="1858" spans="1:1" x14ac:dyDescent="0.25">
      <c r="A1858" s="7"/>
    </row>
    <row r="1859" spans="1:1" x14ac:dyDescent="0.25">
      <c r="A1859" s="7"/>
    </row>
    <row r="1860" spans="1:1" x14ac:dyDescent="0.25">
      <c r="A1860" s="7"/>
    </row>
    <row r="1861" spans="1:1" x14ac:dyDescent="0.25">
      <c r="A1861" s="7"/>
    </row>
    <row r="1862" spans="1:1" x14ac:dyDescent="0.25">
      <c r="A1862" s="7"/>
    </row>
    <row r="1863" spans="1:1" x14ac:dyDescent="0.25">
      <c r="A1863" s="7"/>
    </row>
    <row r="1864" spans="1:1" x14ac:dyDescent="0.25">
      <c r="A1864" s="7"/>
    </row>
    <row r="1865" spans="1:1" x14ac:dyDescent="0.25">
      <c r="A1865" s="7"/>
    </row>
    <row r="1866" spans="1:1" x14ac:dyDescent="0.25">
      <c r="A1866" s="7"/>
    </row>
    <row r="1867" spans="1:1" x14ac:dyDescent="0.25">
      <c r="A1867" s="7"/>
    </row>
    <row r="1868" spans="1:1" x14ac:dyDescent="0.25">
      <c r="A1868" s="7"/>
    </row>
    <row r="1869" spans="1:1" x14ac:dyDescent="0.25">
      <c r="A1869" s="7"/>
    </row>
    <row r="1870" spans="1:1" x14ac:dyDescent="0.25">
      <c r="A1870" s="7"/>
    </row>
    <row r="1871" spans="1:1" x14ac:dyDescent="0.25">
      <c r="A1871" s="7"/>
    </row>
    <row r="1872" spans="1:1" x14ac:dyDescent="0.25">
      <c r="A1872" s="7"/>
    </row>
    <row r="1873" spans="1:1" x14ac:dyDescent="0.25">
      <c r="A1873" s="7"/>
    </row>
    <row r="1874" spans="1:1" x14ac:dyDescent="0.25">
      <c r="A1874" s="7"/>
    </row>
    <row r="1875" spans="1:1" x14ac:dyDescent="0.25">
      <c r="A1875" s="7"/>
    </row>
    <row r="1876" spans="1:1" x14ac:dyDescent="0.25">
      <c r="A1876" s="7"/>
    </row>
    <row r="1877" spans="1:1" x14ac:dyDescent="0.25">
      <c r="A1877" s="7"/>
    </row>
    <row r="1878" spans="1:1" x14ac:dyDescent="0.25">
      <c r="A1878" s="7"/>
    </row>
    <row r="1879" spans="1:1" x14ac:dyDescent="0.25">
      <c r="A1879" s="7"/>
    </row>
    <row r="1880" spans="1:1" x14ac:dyDescent="0.25">
      <c r="A1880" s="7"/>
    </row>
    <row r="1881" spans="1:1" x14ac:dyDescent="0.25">
      <c r="A1881" s="7"/>
    </row>
    <row r="1882" spans="1:1" x14ac:dyDescent="0.25">
      <c r="A1882" s="7"/>
    </row>
    <row r="1883" spans="1:1" x14ac:dyDescent="0.25">
      <c r="A1883" s="7"/>
    </row>
    <row r="1884" spans="1:1" x14ac:dyDescent="0.25">
      <c r="A1884" s="7"/>
    </row>
    <row r="1885" spans="1:1" x14ac:dyDescent="0.25">
      <c r="A1885" s="7"/>
    </row>
    <row r="1886" spans="1:1" x14ac:dyDescent="0.25">
      <c r="A1886" s="7"/>
    </row>
    <row r="1887" spans="1:1" x14ac:dyDescent="0.25">
      <c r="A1887" s="7"/>
    </row>
    <row r="1888" spans="1:1" x14ac:dyDescent="0.25">
      <c r="A1888" s="7"/>
    </row>
    <row r="1889" spans="1:1" x14ac:dyDescent="0.25">
      <c r="A1889" s="7"/>
    </row>
    <row r="1890" spans="1:1" x14ac:dyDescent="0.25">
      <c r="A1890" s="7"/>
    </row>
    <row r="1891" spans="1:1" x14ac:dyDescent="0.25">
      <c r="A1891" s="7"/>
    </row>
    <row r="1892" spans="1:1" x14ac:dyDescent="0.25">
      <c r="A1892" s="7"/>
    </row>
    <row r="1893" spans="1:1" x14ac:dyDescent="0.25">
      <c r="A1893" s="7"/>
    </row>
    <row r="1894" spans="1:1" x14ac:dyDescent="0.25">
      <c r="A1894" s="7"/>
    </row>
    <row r="1895" spans="1:1" x14ac:dyDescent="0.25">
      <c r="A1895" s="7"/>
    </row>
    <row r="1896" spans="1:1" x14ac:dyDescent="0.25">
      <c r="A1896" s="7"/>
    </row>
    <row r="1897" spans="1:1" x14ac:dyDescent="0.25">
      <c r="A1897" s="7"/>
    </row>
    <row r="1898" spans="1:1" x14ac:dyDescent="0.25">
      <c r="A1898" s="7"/>
    </row>
    <row r="1899" spans="1:1" x14ac:dyDescent="0.25">
      <c r="A1899" s="7"/>
    </row>
    <row r="1900" spans="1:1" x14ac:dyDescent="0.25">
      <c r="A1900" s="7"/>
    </row>
    <row r="1901" spans="1:1" x14ac:dyDescent="0.25">
      <c r="A1901" s="7"/>
    </row>
    <row r="1902" spans="1:1" x14ac:dyDescent="0.25">
      <c r="A1902" s="7"/>
    </row>
    <row r="1903" spans="1:1" x14ac:dyDescent="0.25">
      <c r="A1903" s="7"/>
    </row>
    <row r="1904" spans="1:1" x14ac:dyDescent="0.25">
      <c r="A1904" s="7"/>
    </row>
    <row r="1905" spans="1:1" x14ac:dyDescent="0.25">
      <c r="A1905" s="7"/>
    </row>
    <row r="1906" spans="1:1" x14ac:dyDescent="0.25">
      <c r="A1906" s="7"/>
    </row>
    <row r="1907" spans="1:1" x14ac:dyDescent="0.25">
      <c r="A1907" s="7"/>
    </row>
    <row r="1908" spans="1:1" x14ac:dyDescent="0.25">
      <c r="A1908" s="7"/>
    </row>
    <row r="1909" spans="1:1" x14ac:dyDescent="0.25">
      <c r="A1909" s="7"/>
    </row>
    <row r="1910" spans="1:1" x14ac:dyDescent="0.25">
      <c r="A1910" s="7"/>
    </row>
    <row r="1911" spans="1:1" x14ac:dyDescent="0.25">
      <c r="A1911" s="7"/>
    </row>
    <row r="1912" spans="1:1" x14ac:dyDescent="0.25">
      <c r="A1912" s="7"/>
    </row>
    <row r="1913" spans="1:1" x14ac:dyDescent="0.25">
      <c r="A1913" s="7"/>
    </row>
    <row r="1914" spans="1:1" x14ac:dyDescent="0.25">
      <c r="A1914" s="7"/>
    </row>
    <row r="1915" spans="1:1" x14ac:dyDescent="0.25">
      <c r="A1915" s="7"/>
    </row>
    <row r="1916" spans="1:1" x14ac:dyDescent="0.25">
      <c r="A1916" s="7"/>
    </row>
    <row r="1917" spans="1:1" x14ac:dyDescent="0.25">
      <c r="A1917" s="7"/>
    </row>
    <row r="1918" spans="1:1" x14ac:dyDescent="0.25">
      <c r="A1918" s="7"/>
    </row>
    <row r="1919" spans="1:1" x14ac:dyDescent="0.25">
      <c r="A1919" s="7"/>
    </row>
    <row r="1920" spans="1:1" x14ac:dyDescent="0.25">
      <c r="A1920" s="7"/>
    </row>
    <row r="1921" spans="1:1" x14ac:dyDescent="0.25">
      <c r="A1921" s="7"/>
    </row>
    <row r="1922" spans="1:1" x14ac:dyDescent="0.25">
      <c r="A1922" s="7"/>
    </row>
    <row r="1923" spans="1:1" x14ac:dyDescent="0.25">
      <c r="A1923" s="7"/>
    </row>
    <row r="1924" spans="1:1" x14ac:dyDescent="0.25">
      <c r="A1924" s="7"/>
    </row>
    <row r="1925" spans="1:1" x14ac:dyDescent="0.25">
      <c r="A1925" s="7"/>
    </row>
    <row r="1926" spans="1:1" x14ac:dyDescent="0.25">
      <c r="A1926" s="7"/>
    </row>
    <row r="1927" spans="1:1" x14ac:dyDescent="0.25">
      <c r="A1927" s="7"/>
    </row>
    <row r="1928" spans="1:1" x14ac:dyDescent="0.25">
      <c r="A1928" s="7"/>
    </row>
    <row r="1929" spans="1:1" x14ac:dyDescent="0.25">
      <c r="A1929" s="7"/>
    </row>
    <row r="1930" spans="1:1" x14ac:dyDescent="0.25">
      <c r="A1930" s="7"/>
    </row>
    <row r="1931" spans="1:1" x14ac:dyDescent="0.25">
      <c r="A1931" s="7"/>
    </row>
    <row r="1932" spans="1:1" x14ac:dyDescent="0.25">
      <c r="A1932" s="7"/>
    </row>
    <row r="1933" spans="1:1" x14ac:dyDescent="0.25">
      <c r="A1933" s="7"/>
    </row>
    <row r="1934" spans="1:1" x14ac:dyDescent="0.25">
      <c r="A1934" s="7"/>
    </row>
    <row r="1935" spans="1:1" x14ac:dyDescent="0.25">
      <c r="A1935" s="7"/>
    </row>
    <row r="1936" spans="1:1" x14ac:dyDescent="0.25">
      <c r="A1936" s="7"/>
    </row>
    <row r="1937" spans="1:1" x14ac:dyDescent="0.25">
      <c r="A1937" s="7"/>
    </row>
    <row r="1938" spans="1:1" x14ac:dyDescent="0.25">
      <c r="A1938" s="7"/>
    </row>
    <row r="1939" spans="1:1" x14ac:dyDescent="0.25">
      <c r="A1939" s="7"/>
    </row>
    <row r="1940" spans="1:1" x14ac:dyDescent="0.25">
      <c r="A1940" s="7"/>
    </row>
    <row r="1941" spans="1:1" x14ac:dyDescent="0.25">
      <c r="A1941" s="7"/>
    </row>
    <row r="1942" spans="1:1" x14ac:dyDescent="0.25">
      <c r="A1942" s="7"/>
    </row>
    <row r="1943" spans="1:1" x14ac:dyDescent="0.25">
      <c r="A1943" s="7"/>
    </row>
    <row r="1944" spans="1:1" x14ac:dyDescent="0.25">
      <c r="A1944" s="7"/>
    </row>
    <row r="1945" spans="1:1" x14ac:dyDescent="0.25">
      <c r="A1945" s="7"/>
    </row>
    <row r="1946" spans="1:1" x14ac:dyDescent="0.25">
      <c r="A1946" s="7"/>
    </row>
    <row r="1947" spans="1:1" x14ac:dyDescent="0.25">
      <c r="A1947" s="7"/>
    </row>
    <row r="1948" spans="1:1" x14ac:dyDescent="0.25">
      <c r="A1948" s="7"/>
    </row>
    <row r="1949" spans="1:1" x14ac:dyDescent="0.25">
      <c r="A1949" s="7"/>
    </row>
    <row r="1950" spans="1:1" x14ac:dyDescent="0.25">
      <c r="A1950" s="7"/>
    </row>
    <row r="1951" spans="1:1" x14ac:dyDescent="0.25">
      <c r="A1951" s="7"/>
    </row>
    <row r="1952" spans="1:1" x14ac:dyDescent="0.25">
      <c r="A1952" s="7"/>
    </row>
    <row r="1953" spans="1:1" x14ac:dyDescent="0.25">
      <c r="A1953" s="7"/>
    </row>
    <row r="1954" spans="1:1" x14ac:dyDescent="0.25">
      <c r="A1954" s="7"/>
    </row>
    <row r="1955" spans="1:1" x14ac:dyDescent="0.25">
      <c r="A1955" s="7"/>
    </row>
    <row r="1956" spans="1:1" x14ac:dyDescent="0.25">
      <c r="A1956" s="7"/>
    </row>
    <row r="1957" spans="1:1" x14ac:dyDescent="0.25">
      <c r="A1957" s="7"/>
    </row>
    <row r="1958" spans="1:1" x14ac:dyDescent="0.25">
      <c r="A1958" s="7"/>
    </row>
    <row r="1959" spans="1:1" x14ac:dyDescent="0.25">
      <c r="A1959" s="7"/>
    </row>
    <row r="1960" spans="1:1" x14ac:dyDescent="0.25">
      <c r="A1960" s="7"/>
    </row>
    <row r="1961" spans="1:1" x14ac:dyDescent="0.25">
      <c r="A1961" s="7"/>
    </row>
    <row r="1962" spans="1:1" x14ac:dyDescent="0.25">
      <c r="A1962" s="7"/>
    </row>
    <row r="1963" spans="1:1" x14ac:dyDescent="0.25">
      <c r="A1963" s="7"/>
    </row>
    <row r="1964" spans="1:1" x14ac:dyDescent="0.25">
      <c r="A1964" s="7"/>
    </row>
    <row r="1965" spans="1:1" x14ac:dyDescent="0.25">
      <c r="A1965" s="7"/>
    </row>
    <row r="1966" spans="1:1" x14ac:dyDescent="0.25">
      <c r="A1966" s="7"/>
    </row>
    <row r="1967" spans="1:1" x14ac:dyDescent="0.25">
      <c r="A1967" s="7"/>
    </row>
    <row r="1968" spans="1:1" x14ac:dyDescent="0.25">
      <c r="A1968" s="7"/>
    </row>
    <row r="1969" spans="1:1" x14ac:dyDescent="0.25">
      <c r="A1969" s="7"/>
    </row>
    <row r="1970" spans="1:1" x14ac:dyDescent="0.25">
      <c r="A1970" s="7"/>
    </row>
    <row r="1971" spans="1:1" x14ac:dyDescent="0.25">
      <c r="A1971" s="7"/>
    </row>
    <row r="1972" spans="1:1" x14ac:dyDescent="0.25">
      <c r="A1972" s="7"/>
    </row>
    <row r="1973" spans="1:1" x14ac:dyDescent="0.25">
      <c r="A1973" s="7"/>
    </row>
    <row r="1974" spans="1:1" x14ac:dyDescent="0.25">
      <c r="A1974" s="7"/>
    </row>
    <row r="1975" spans="1:1" x14ac:dyDescent="0.25">
      <c r="A1975" s="7"/>
    </row>
    <row r="1976" spans="1:1" x14ac:dyDescent="0.25">
      <c r="A1976" s="7"/>
    </row>
    <row r="1977" spans="1:1" x14ac:dyDescent="0.25">
      <c r="A1977" s="7"/>
    </row>
    <row r="1978" spans="1:1" x14ac:dyDescent="0.25">
      <c r="A1978" s="7"/>
    </row>
    <row r="1979" spans="1:1" x14ac:dyDescent="0.25">
      <c r="A1979" s="7"/>
    </row>
    <row r="1980" spans="1:1" x14ac:dyDescent="0.25">
      <c r="A1980" s="7"/>
    </row>
    <row r="1981" spans="1:1" x14ac:dyDescent="0.25">
      <c r="A1981" s="7"/>
    </row>
    <row r="1982" spans="1:1" x14ac:dyDescent="0.25">
      <c r="A1982" s="7"/>
    </row>
    <row r="1983" spans="1:1" x14ac:dyDescent="0.25">
      <c r="A1983" s="7"/>
    </row>
    <row r="1984" spans="1:1" x14ac:dyDescent="0.25">
      <c r="A1984" s="7"/>
    </row>
    <row r="1985" spans="1:1" x14ac:dyDescent="0.25">
      <c r="A1985" s="7"/>
    </row>
    <row r="1986" spans="1:1" x14ac:dyDescent="0.25">
      <c r="A1986" s="7"/>
    </row>
    <row r="1987" spans="1:1" x14ac:dyDescent="0.25">
      <c r="A1987" s="7"/>
    </row>
    <row r="1988" spans="1:1" x14ac:dyDescent="0.25">
      <c r="A1988" s="7"/>
    </row>
    <row r="1989" spans="1:1" x14ac:dyDescent="0.25">
      <c r="A1989" s="7"/>
    </row>
    <row r="1990" spans="1:1" x14ac:dyDescent="0.25">
      <c r="A1990" s="7"/>
    </row>
    <row r="1991" spans="1:1" x14ac:dyDescent="0.25">
      <c r="A1991" s="7"/>
    </row>
    <row r="1992" spans="1:1" x14ac:dyDescent="0.25">
      <c r="A1992" s="7"/>
    </row>
    <row r="1993" spans="1:1" x14ac:dyDescent="0.25">
      <c r="A1993" s="7"/>
    </row>
    <row r="1994" spans="1:1" x14ac:dyDescent="0.25">
      <c r="A1994" s="7"/>
    </row>
    <row r="1995" spans="1:1" x14ac:dyDescent="0.25">
      <c r="A1995" s="7"/>
    </row>
    <row r="1996" spans="1:1" x14ac:dyDescent="0.25">
      <c r="A1996" s="7"/>
    </row>
    <row r="1997" spans="1:1" x14ac:dyDescent="0.25">
      <c r="A1997" s="7"/>
    </row>
    <row r="1998" spans="1:1" x14ac:dyDescent="0.25">
      <c r="A1998" s="7"/>
    </row>
    <row r="1999" spans="1:1" x14ac:dyDescent="0.25">
      <c r="A1999" s="7"/>
    </row>
    <row r="2000" spans="1:1" x14ac:dyDescent="0.25">
      <c r="A2000" s="7"/>
    </row>
    <row r="2001" spans="1:1" x14ac:dyDescent="0.25">
      <c r="A2001" s="7"/>
    </row>
    <row r="2002" spans="1:1" x14ac:dyDescent="0.25">
      <c r="A2002" s="7"/>
    </row>
    <row r="2003" spans="1:1" x14ac:dyDescent="0.25">
      <c r="A2003" s="7"/>
    </row>
    <row r="2004" spans="1:1" x14ac:dyDescent="0.25">
      <c r="A2004" s="7"/>
    </row>
    <row r="2005" spans="1:1" x14ac:dyDescent="0.25">
      <c r="A2005" s="7"/>
    </row>
    <row r="2006" spans="1:1" x14ac:dyDescent="0.25">
      <c r="A2006" s="7"/>
    </row>
    <row r="2007" spans="1:1" x14ac:dyDescent="0.25">
      <c r="A2007" s="7"/>
    </row>
    <row r="2008" spans="1:1" x14ac:dyDescent="0.25">
      <c r="A2008" s="7"/>
    </row>
    <row r="2009" spans="1:1" x14ac:dyDescent="0.25">
      <c r="A2009" s="7"/>
    </row>
    <row r="2010" spans="1:1" x14ac:dyDescent="0.25">
      <c r="A2010" s="7"/>
    </row>
    <row r="2011" spans="1:1" x14ac:dyDescent="0.25">
      <c r="A2011" s="7"/>
    </row>
    <row r="2012" spans="1:1" x14ac:dyDescent="0.25">
      <c r="A2012" s="7"/>
    </row>
    <row r="2013" spans="1:1" x14ac:dyDescent="0.25">
      <c r="A2013" s="7"/>
    </row>
    <row r="2014" spans="1:1" x14ac:dyDescent="0.25">
      <c r="A2014" s="7"/>
    </row>
    <row r="2015" spans="1:1" x14ac:dyDescent="0.25">
      <c r="A2015" s="7"/>
    </row>
    <row r="2016" spans="1:1" x14ac:dyDescent="0.25">
      <c r="A2016" s="7"/>
    </row>
    <row r="2017" spans="1:1" x14ac:dyDescent="0.25">
      <c r="A2017" s="7"/>
    </row>
    <row r="2018" spans="1:1" x14ac:dyDescent="0.25">
      <c r="A2018" s="7"/>
    </row>
    <row r="2019" spans="1:1" x14ac:dyDescent="0.25">
      <c r="A2019" s="7"/>
    </row>
    <row r="2020" spans="1:1" x14ac:dyDescent="0.25">
      <c r="A2020" s="7"/>
    </row>
    <row r="2021" spans="1:1" x14ac:dyDescent="0.25">
      <c r="A2021" s="7"/>
    </row>
    <row r="2022" spans="1:1" x14ac:dyDescent="0.25">
      <c r="A2022" s="7"/>
    </row>
    <row r="2023" spans="1:1" x14ac:dyDescent="0.25">
      <c r="A2023" s="7"/>
    </row>
    <row r="2024" spans="1:1" x14ac:dyDescent="0.25">
      <c r="A2024" s="7"/>
    </row>
    <row r="2025" spans="1:1" x14ac:dyDescent="0.25">
      <c r="A2025" s="7"/>
    </row>
    <row r="2026" spans="1:1" x14ac:dyDescent="0.25">
      <c r="A2026" s="7"/>
    </row>
    <row r="2027" spans="1:1" x14ac:dyDescent="0.25">
      <c r="A2027" s="7"/>
    </row>
    <row r="2028" spans="1:1" x14ac:dyDescent="0.25">
      <c r="A2028" s="7"/>
    </row>
    <row r="2029" spans="1:1" x14ac:dyDescent="0.25">
      <c r="A2029" s="7"/>
    </row>
    <row r="2030" spans="1:1" x14ac:dyDescent="0.25">
      <c r="A2030" s="7"/>
    </row>
    <row r="2031" spans="1:1" x14ac:dyDescent="0.25">
      <c r="A2031" s="7"/>
    </row>
    <row r="2032" spans="1:1" x14ac:dyDescent="0.25">
      <c r="A2032" s="7"/>
    </row>
    <row r="2033" spans="1:1" x14ac:dyDescent="0.25">
      <c r="A2033" s="7"/>
    </row>
    <row r="2034" spans="1:1" x14ac:dyDescent="0.25">
      <c r="A2034" s="7"/>
    </row>
    <row r="2035" spans="1:1" x14ac:dyDescent="0.25">
      <c r="A2035" s="7"/>
    </row>
    <row r="2036" spans="1:1" x14ac:dyDescent="0.25">
      <c r="A2036" s="7"/>
    </row>
    <row r="2037" spans="1:1" x14ac:dyDescent="0.25">
      <c r="A2037" s="7"/>
    </row>
    <row r="2038" spans="1:1" x14ac:dyDescent="0.25">
      <c r="A2038" s="7"/>
    </row>
    <row r="2039" spans="1:1" x14ac:dyDescent="0.25">
      <c r="A2039" s="7"/>
    </row>
    <row r="2040" spans="1:1" x14ac:dyDescent="0.25">
      <c r="A2040" s="7"/>
    </row>
    <row r="2041" spans="1:1" x14ac:dyDescent="0.25">
      <c r="A2041" s="7"/>
    </row>
    <row r="2042" spans="1:1" x14ac:dyDescent="0.25">
      <c r="A2042" s="7"/>
    </row>
    <row r="2043" spans="1:1" x14ac:dyDescent="0.25">
      <c r="A2043" s="7"/>
    </row>
    <row r="2044" spans="1:1" x14ac:dyDescent="0.25">
      <c r="A2044" s="7"/>
    </row>
    <row r="2045" spans="1:1" x14ac:dyDescent="0.25">
      <c r="A2045" s="7"/>
    </row>
    <row r="2046" spans="1:1" x14ac:dyDescent="0.25">
      <c r="A2046" s="7"/>
    </row>
    <row r="2047" spans="1:1" x14ac:dyDescent="0.25">
      <c r="A2047" s="7"/>
    </row>
    <row r="2048" spans="1:1" x14ac:dyDescent="0.25">
      <c r="A2048" s="7"/>
    </row>
    <row r="2049" spans="1:1" x14ac:dyDescent="0.25">
      <c r="A2049" s="7"/>
    </row>
    <row r="2050" spans="1:1" x14ac:dyDescent="0.25">
      <c r="A2050" s="7"/>
    </row>
    <row r="2051" spans="1:1" x14ac:dyDescent="0.25">
      <c r="A2051" s="7"/>
    </row>
    <row r="2052" spans="1:1" x14ac:dyDescent="0.25">
      <c r="A2052" s="7"/>
    </row>
    <row r="2053" spans="1:1" x14ac:dyDescent="0.25">
      <c r="A2053" s="7"/>
    </row>
    <row r="2054" spans="1:1" x14ac:dyDescent="0.25">
      <c r="A2054" s="7"/>
    </row>
    <row r="2055" spans="1:1" x14ac:dyDescent="0.25">
      <c r="A2055" s="7"/>
    </row>
    <row r="2056" spans="1:1" x14ac:dyDescent="0.25">
      <c r="A2056" s="7"/>
    </row>
    <row r="2057" spans="1:1" x14ac:dyDescent="0.25">
      <c r="A2057" s="7"/>
    </row>
    <row r="2058" spans="1:1" x14ac:dyDescent="0.25">
      <c r="A2058" s="7"/>
    </row>
    <row r="2059" spans="1:1" x14ac:dyDescent="0.25">
      <c r="A2059" s="7"/>
    </row>
    <row r="2060" spans="1:1" x14ac:dyDescent="0.25">
      <c r="A2060" s="7"/>
    </row>
    <row r="2061" spans="1:1" x14ac:dyDescent="0.25">
      <c r="A2061" s="7"/>
    </row>
    <row r="2062" spans="1:1" x14ac:dyDescent="0.25">
      <c r="A2062" s="7"/>
    </row>
    <row r="2063" spans="1:1" x14ac:dyDescent="0.25">
      <c r="A2063" s="7"/>
    </row>
    <row r="2064" spans="1:1" x14ac:dyDescent="0.25">
      <c r="A2064" s="7"/>
    </row>
    <row r="2065" spans="1:1" x14ac:dyDescent="0.25">
      <c r="A2065" s="7"/>
    </row>
    <row r="2066" spans="1:1" x14ac:dyDescent="0.25">
      <c r="A2066" s="7"/>
    </row>
    <row r="2067" spans="1:1" x14ac:dyDescent="0.25">
      <c r="A2067" s="7"/>
    </row>
    <row r="2068" spans="1:1" x14ac:dyDescent="0.25">
      <c r="A2068" s="7"/>
    </row>
    <row r="2069" spans="1:1" x14ac:dyDescent="0.25">
      <c r="A2069" s="7"/>
    </row>
    <row r="2070" spans="1:1" x14ac:dyDescent="0.25">
      <c r="A2070" s="7"/>
    </row>
    <row r="2071" spans="1:1" x14ac:dyDescent="0.25">
      <c r="A2071" s="7"/>
    </row>
    <row r="2072" spans="1:1" x14ac:dyDescent="0.25">
      <c r="A2072" s="7"/>
    </row>
    <row r="2073" spans="1:1" x14ac:dyDescent="0.25">
      <c r="A2073" s="7"/>
    </row>
    <row r="2074" spans="1:1" x14ac:dyDescent="0.25">
      <c r="A2074" s="7"/>
    </row>
    <row r="2075" spans="1:1" x14ac:dyDescent="0.25">
      <c r="A2075" s="7"/>
    </row>
    <row r="2076" spans="1:1" x14ac:dyDescent="0.25">
      <c r="A2076" s="7"/>
    </row>
    <row r="2077" spans="1:1" x14ac:dyDescent="0.25">
      <c r="A2077" s="7"/>
    </row>
    <row r="2078" spans="1:1" x14ac:dyDescent="0.25">
      <c r="A2078" s="7"/>
    </row>
    <row r="2079" spans="1:1" x14ac:dyDescent="0.25">
      <c r="A2079" s="7"/>
    </row>
    <row r="2080" spans="1:1" x14ac:dyDescent="0.25">
      <c r="A2080" s="7"/>
    </row>
    <row r="2081" spans="1:1" x14ac:dyDescent="0.25">
      <c r="A2081" s="7"/>
    </row>
    <row r="2082" spans="1:1" x14ac:dyDescent="0.25">
      <c r="A2082" s="7"/>
    </row>
    <row r="2083" spans="1:1" x14ac:dyDescent="0.25">
      <c r="A2083" s="7"/>
    </row>
    <row r="2084" spans="1:1" x14ac:dyDescent="0.25">
      <c r="A2084" s="7"/>
    </row>
    <row r="2085" spans="1:1" x14ac:dyDescent="0.25">
      <c r="A2085" s="7"/>
    </row>
    <row r="2086" spans="1:1" x14ac:dyDescent="0.25">
      <c r="A2086" s="7"/>
    </row>
    <row r="2087" spans="1:1" x14ac:dyDescent="0.25">
      <c r="A2087" s="7"/>
    </row>
    <row r="2088" spans="1:1" x14ac:dyDescent="0.25">
      <c r="A2088" s="7"/>
    </row>
    <row r="2089" spans="1:1" x14ac:dyDescent="0.25">
      <c r="A2089" s="7"/>
    </row>
    <row r="2090" spans="1:1" x14ac:dyDescent="0.25">
      <c r="A2090" s="7"/>
    </row>
    <row r="2091" spans="1:1" x14ac:dyDescent="0.25">
      <c r="A2091" s="7"/>
    </row>
    <row r="2092" spans="1:1" x14ac:dyDescent="0.25">
      <c r="A2092" s="7"/>
    </row>
    <row r="2093" spans="1:1" x14ac:dyDescent="0.25">
      <c r="A2093" s="7"/>
    </row>
    <row r="2094" spans="1:1" x14ac:dyDescent="0.25">
      <c r="A2094" s="7"/>
    </row>
    <row r="2095" spans="1:1" x14ac:dyDescent="0.25">
      <c r="A2095" s="7"/>
    </row>
    <row r="2096" spans="1:1" x14ac:dyDescent="0.25">
      <c r="A2096" s="7"/>
    </row>
    <row r="2097" spans="1:1" x14ac:dyDescent="0.25">
      <c r="A2097" s="7"/>
    </row>
    <row r="2098" spans="1:1" x14ac:dyDescent="0.25">
      <c r="A2098" s="7"/>
    </row>
    <row r="2099" spans="1:1" x14ac:dyDescent="0.25">
      <c r="A2099" s="7"/>
    </row>
    <row r="2100" spans="1:1" x14ac:dyDescent="0.25">
      <c r="A2100" s="7"/>
    </row>
    <row r="2101" spans="1:1" x14ac:dyDescent="0.25">
      <c r="A2101" s="7"/>
    </row>
    <row r="2102" spans="1:1" x14ac:dyDescent="0.25">
      <c r="A2102" s="7"/>
    </row>
    <row r="2103" spans="1:1" x14ac:dyDescent="0.25">
      <c r="A2103" s="7"/>
    </row>
    <row r="2104" spans="1:1" x14ac:dyDescent="0.25">
      <c r="A2104" s="7"/>
    </row>
    <row r="2105" spans="1:1" x14ac:dyDescent="0.25">
      <c r="A2105" s="7"/>
    </row>
    <row r="2106" spans="1:1" x14ac:dyDescent="0.25">
      <c r="A2106" s="7"/>
    </row>
    <row r="2107" spans="1:1" x14ac:dyDescent="0.25">
      <c r="A2107" s="7"/>
    </row>
    <row r="2108" spans="1:1" x14ac:dyDescent="0.25">
      <c r="A2108" s="7"/>
    </row>
    <row r="2109" spans="1:1" x14ac:dyDescent="0.25">
      <c r="A2109" s="7"/>
    </row>
    <row r="2110" spans="1:1" x14ac:dyDescent="0.25">
      <c r="A2110" s="7"/>
    </row>
    <row r="2111" spans="1:1" x14ac:dyDescent="0.25">
      <c r="A2111" s="7"/>
    </row>
    <row r="2112" spans="1:1" x14ac:dyDescent="0.25">
      <c r="A2112" s="7"/>
    </row>
    <row r="2113" spans="1:1" x14ac:dyDescent="0.25">
      <c r="A2113" s="7"/>
    </row>
    <row r="2114" spans="1:1" x14ac:dyDescent="0.25">
      <c r="A2114" s="7"/>
    </row>
    <row r="2115" spans="1:1" x14ac:dyDescent="0.25">
      <c r="A2115" s="7"/>
    </row>
    <row r="2116" spans="1:1" x14ac:dyDescent="0.25">
      <c r="A2116" s="7"/>
    </row>
    <row r="2117" spans="1:1" x14ac:dyDescent="0.25">
      <c r="A2117" s="7"/>
    </row>
    <row r="2118" spans="1:1" x14ac:dyDescent="0.25">
      <c r="A2118" s="7"/>
    </row>
    <row r="2119" spans="1:1" x14ac:dyDescent="0.25">
      <c r="A2119" s="7"/>
    </row>
    <row r="2120" spans="1:1" x14ac:dyDescent="0.25">
      <c r="A2120" s="7"/>
    </row>
    <row r="2121" spans="1:1" x14ac:dyDescent="0.25">
      <c r="A2121" s="7"/>
    </row>
    <row r="2122" spans="1:1" x14ac:dyDescent="0.25">
      <c r="A2122" s="7"/>
    </row>
    <row r="2123" spans="1:1" x14ac:dyDescent="0.25">
      <c r="A2123" s="7"/>
    </row>
    <row r="2124" spans="1:1" x14ac:dyDescent="0.25">
      <c r="A2124" s="7"/>
    </row>
    <row r="2125" spans="1:1" x14ac:dyDescent="0.25">
      <c r="A2125" s="7"/>
    </row>
    <row r="2126" spans="1:1" x14ac:dyDescent="0.25">
      <c r="A2126" s="7"/>
    </row>
    <row r="2127" spans="1:1" x14ac:dyDescent="0.25">
      <c r="A2127" s="7"/>
    </row>
    <row r="2128" spans="1:1" x14ac:dyDescent="0.25">
      <c r="A2128" s="7"/>
    </row>
    <row r="2129" spans="1:1" x14ac:dyDescent="0.25">
      <c r="A2129" s="7"/>
    </row>
    <row r="2130" spans="1:1" x14ac:dyDescent="0.25">
      <c r="A2130" s="7"/>
    </row>
    <row r="2131" spans="1:1" x14ac:dyDescent="0.25">
      <c r="A2131" s="7"/>
    </row>
    <row r="2132" spans="1:1" x14ac:dyDescent="0.25">
      <c r="A2132" s="7"/>
    </row>
    <row r="2133" spans="1:1" x14ac:dyDescent="0.25">
      <c r="A2133" s="7"/>
    </row>
    <row r="2134" spans="1:1" x14ac:dyDescent="0.25">
      <c r="A2134" s="7"/>
    </row>
    <row r="2135" spans="1:1" x14ac:dyDescent="0.25">
      <c r="A2135" s="7"/>
    </row>
    <row r="2136" spans="1:1" x14ac:dyDescent="0.25">
      <c r="A2136" s="7"/>
    </row>
    <row r="2137" spans="1:1" x14ac:dyDescent="0.25">
      <c r="A2137" s="7"/>
    </row>
    <row r="2138" spans="1:1" x14ac:dyDescent="0.25">
      <c r="A2138" s="7"/>
    </row>
    <row r="2139" spans="1:1" x14ac:dyDescent="0.25">
      <c r="A2139" s="7"/>
    </row>
    <row r="2140" spans="1:1" x14ac:dyDescent="0.25">
      <c r="A2140" s="7"/>
    </row>
    <row r="2141" spans="1:1" x14ac:dyDescent="0.25">
      <c r="A2141" s="7"/>
    </row>
    <row r="2142" spans="1:1" x14ac:dyDescent="0.25">
      <c r="A2142" s="7"/>
    </row>
    <row r="2143" spans="1:1" x14ac:dyDescent="0.25">
      <c r="A2143" s="7"/>
    </row>
    <row r="2144" spans="1:1" x14ac:dyDescent="0.25">
      <c r="A2144" s="7"/>
    </row>
    <row r="2145" spans="1:1" x14ac:dyDescent="0.25">
      <c r="A2145" s="7"/>
    </row>
    <row r="2146" spans="1:1" x14ac:dyDescent="0.25">
      <c r="A2146" s="7"/>
    </row>
    <row r="2147" spans="1:1" x14ac:dyDescent="0.25">
      <c r="A2147" s="7"/>
    </row>
    <row r="2148" spans="1:1" x14ac:dyDescent="0.25">
      <c r="A2148" s="7"/>
    </row>
    <row r="2149" spans="1:1" x14ac:dyDescent="0.25">
      <c r="A2149" s="7"/>
    </row>
    <row r="2150" spans="1:1" x14ac:dyDescent="0.25">
      <c r="A2150" s="7"/>
    </row>
    <row r="2151" spans="1:1" x14ac:dyDescent="0.25">
      <c r="A2151" s="7"/>
    </row>
    <row r="2152" spans="1:1" x14ac:dyDescent="0.25">
      <c r="A2152" s="7"/>
    </row>
    <row r="2153" spans="1:1" x14ac:dyDescent="0.25">
      <c r="A2153" s="7"/>
    </row>
    <row r="2154" spans="1:1" x14ac:dyDescent="0.25">
      <c r="A2154" s="7"/>
    </row>
    <row r="2155" spans="1:1" x14ac:dyDescent="0.25">
      <c r="A2155" s="7"/>
    </row>
    <row r="2156" spans="1:1" x14ac:dyDescent="0.25">
      <c r="A2156" s="7"/>
    </row>
    <row r="2157" spans="1:1" x14ac:dyDescent="0.25">
      <c r="A2157" s="7"/>
    </row>
    <row r="2158" spans="1:1" x14ac:dyDescent="0.25">
      <c r="A2158" s="7"/>
    </row>
    <row r="2159" spans="1:1" x14ac:dyDescent="0.25">
      <c r="A2159" s="7"/>
    </row>
    <row r="2160" spans="1:1" x14ac:dyDescent="0.25">
      <c r="A2160" s="7"/>
    </row>
    <row r="2161" spans="1:1" x14ac:dyDescent="0.25">
      <c r="A2161" s="7"/>
    </row>
    <row r="2162" spans="1:1" x14ac:dyDescent="0.25">
      <c r="A2162" s="7"/>
    </row>
    <row r="2163" spans="1:1" x14ac:dyDescent="0.25">
      <c r="A2163" s="7"/>
    </row>
    <row r="2164" spans="1:1" x14ac:dyDescent="0.25">
      <c r="A2164" s="7"/>
    </row>
    <row r="2165" spans="1:1" x14ac:dyDescent="0.25">
      <c r="A2165" s="7"/>
    </row>
    <row r="2166" spans="1:1" x14ac:dyDescent="0.25">
      <c r="A2166" s="7"/>
    </row>
    <row r="2167" spans="1:1" x14ac:dyDescent="0.25">
      <c r="A2167" s="7"/>
    </row>
    <row r="2168" spans="1:1" x14ac:dyDescent="0.25">
      <c r="A2168" s="7"/>
    </row>
    <row r="2169" spans="1:1" x14ac:dyDescent="0.25">
      <c r="A2169" s="7"/>
    </row>
    <row r="2170" spans="1:1" x14ac:dyDescent="0.25">
      <c r="A2170" s="7"/>
    </row>
    <row r="2171" spans="1:1" x14ac:dyDescent="0.25">
      <c r="A2171" s="7"/>
    </row>
    <row r="2172" spans="1:1" x14ac:dyDescent="0.25">
      <c r="A2172" s="7"/>
    </row>
    <row r="2173" spans="1:1" x14ac:dyDescent="0.25">
      <c r="A2173" s="7"/>
    </row>
    <row r="2174" spans="1:1" x14ac:dyDescent="0.25">
      <c r="A2174" s="7"/>
    </row>
    <row r="2175" spans="1:1" x14ac:dyDescent="0.25">
      <c r="A2175" s="7"/>
    </row>
    <row r="2176" spans="1:1" x14ac:dyDescent="0.25">
      <c r="A2176" s="7"/>
    </row>
    <row r="2177" spans="1:1" x14ac:dyDescent="0.25">
      <c r="A2177" s="7"/>
    </row>
    <row r="2178" spans="1:1" x14ac:dyDescent="0.25">
      <c r="A2178" s="7"/>
    </row>
    <row r="2179" spans="1:1" x14ac:dyDescent="0.25">
      <c r="A2179" s="7"/>
    </row>
    <row r="2180" spans="1:1" x14ac:dyDescent="0.25">
      <c r="A2180" s="7"/>
    </row>
    <row r="2181" spans="1:1" x14ac:dyDescent="0.25">
      <c r="A2181" s="7"/>
    </row>
    <row r="2182" spans="1:1" x14ac:dyDescent="0.25">
      <c r="A2182" s="7"/>
    </row>
    <row r="2183" spans="1:1" x14ac:dyDescent="0.25">
      <c r="A2183" s="7"/>
    </row>
    <row r="2184" spans="1:1" x14ac:dyDescent="0.25">
      <c r="A2184" s="7"/>
    </row>
    <row r="2185" spans="1:1" x14ac:dyDescent="0.25">
      <c r="A2185" s="7"/>
    </row>
    <row r="2186" spans="1:1" x14ac:dyDescent="0.25">
      <c r="A2186" s="7"/>
    </row>
    <row r="2187" spans="1:1" x14ac:dyDescent="0.25">
      <c r="A2187" s="7"/>
    </row>
    <row r="2188" spans="1:1" x14ac:dyDescent="0.25">
      <c r="A2188" s="7"/>
    </row>
    <row r="2189" spans="1:1" x14ac:dyDescent="0.25">
      <c r="A2189" s="7"/>
    </row>
    <row r="2190" spans="1:1" x14ac:dyDescent="0.25">
      <c r="A2190" s="7"/>
    </row>
    <row r="2191" spans="1:1" x14ac:dyDescent="0.25">
      <c r="A2191" s="7"/>
    </row>
    <row r="2192" spans="1:1" x14ac:dyDescent="0.25">
      <c r="A2192" s="7"/>
    </row>
    <row r="2193" spans="1:1" x14ac:dyDescent="0.25">
      <c r="A2193" s="7"/>
    </row>
    <row r="2194" spans="1:1" x14ac:dyDescent="0.25">
      <c r="A2194" s="7"/>
    </row>
    <row r="2195" spans="1:1" x14ac:dyDescent="0.25">
      <c r="A2195" s="7"/>
    </row>
    <row r="2196" spans="1:1" x14ac:dyDescent="0.25">
      <c r="A2196" s="7"/>
    </row>
    <row r="2197" spans="1:1" x14ac:dyDescent="0.25">
      <c r="A2197" s="7"/>
    </row>
    <row r="2198" spans="1:1" x14ac:dyDescent="0.25">
      <c r="A2198" s="7"/>
    </row>
    <row r="2199" spans="1:1" x14ac:dyDescent="0.25">
      <c r="A2199" s="7"/>
    </row>
    <row r="2200" spans="1:1" x14ac:dyDescent="0.25">
      <c r="A2200" s="7"/>
    </row>
    <row r="2201" spans="1:1" x14ac:dyDescent="0.25">
      <c r="A2201" s="7"/>
    </row>
    <row r="2202" spans="1:1" x14ac:dyDescent="0.25">
      <c r="A2202" s="7"/>
    </row>
    <row r="2203" spans="1:1" x14ac:dyDescent="0.25">
      <c r="A2203" s="7"/>
    </row>
    <row r="2204" spans="1:1" x14ac:dyDescent="0.25">
      <c r="A2204" s="7"/>
    </row>
    <row r="2205" spans="1:1" x14ac:dyDescent="0.25">
      <c r="A2205" s="7"/>
    </row>
    <row r="2206" spans="1:1" x14ac:dyDescent="0.25">
      <c r="A2206" s="7"/>
    </row>
    <row r="2207" spans="1:1" x14ac:dyDescent="0.25">
      <c r="A2207" s="7"/>
    </row>
    <row r="2208" spans="1:1" x14ac:dyDescent="0.25">
      <c r="A2208" s="7"/>
    </row>
    <row r="2209" spans="1:1" x14ac:dyDescent="0.25">
      <c r="A2209" s="7"/>
    </row>
    <row r="2210" spans="1:1" x14ac:dyDescent="0.25">
      <c r="A2210" s="7"/>
    </row>
    <row r="2211" spans="1:1" x14ac:dyDescent="0.25">
      <c r="A2211" s="7"/>
    </row>
    <row r="2212" spans="1:1" x14ac:dyDescent="0.25">
      <c r="A2212" s="7"/>
    </row>
    <row r="2213" spans="1:1" x14ac:dyDescent="0.25">
      <c r="A2213" s="7"/>
    </row>
    <row r="2214" spans="1:1" x14ac:dyDescent="0.25">
      <c r="A2214" s="7"/>
    </row>
    <row r="2215" spans="1:1" x14ac:dyDescent="0.25">
      <c r="A2215" s="7"/>
    </row>
    <row r="2216" spans="1:1" x14ac:dyDescent="0.25">
      <c r="A2216" s="7"/>
    </row>
    <row r="2217" spans="1:1" x14ac:dyDescent="0.25">
      <c r="A2217" s="7"/>
    </row>
    <row r="2218" spans="1:1" x14ac:dyDescent="0.25">
      <c r="A2218" s="7"/>
    </row>
    <row r="2219" spans="1:1" x14ac:dyDescent="0.25">
      <c r="A2219" s="7"/>
    </row>
    <row r="2220" spans="1:1" x14ac:dyDescent="0.25">
      <c r="A2220" s="7"/>
    </row>
    <row r="2221" spans="1:1" x14ac:dyDescent="0.25">
      <c r="A2221" s="7"/>
    </row>
    <row r="2222" spans="1:1" x14ac:dyDescent="0.25">
      <c r="A2222" s="7"/>
    </row>
    <row r="2223" spans="1:1" x14ac:dyDescent="0.25">
      <c r="A2223" s="7"/>
    </row>
    <row r="2224" spans="1:1" x14ac:dyDescent="0.25">
      <c r="A2224" s="7"/>
    </row>
    <row r="2225" spans="1:1" x14ac:dyDescent="0.25">
      <c r="A2225" s="7"/>
    </row>
    <row r="2226" spans="1:1" x14ac:dyDescent="0.25">
      <c r="A2226" s="7"/>
    </row>
    <row r="2227" spans="1:1" x14ac:dyDescent="0.25">
      <c r="A2227" s="7"/>
    </row>
    <row r="2228" spans="1:1" x14ac:dyDescent="0.25">
      <c r="A2228" s="7"/>
    </row>
    <row r="2229" spans="1:1" x14ac:dyDescent="0.25">
      <c r="A2229" s="7"/>
    </row>
    <row r="2230" spans="1:1" x14ac:dyDescent="0.25">
      <c r="A2230" s="7"/>
    </row>
    <row r="2231" spans="1:1" x14ac:dyDescent="0.25">
      <c r="A2231" s="7"/>
    </row>
    <row r="2232" spans="1:1" x14ac:dyDescent="0.25">
      <c r="A2232" s="7"/>
    </row>
    <row r="2233" spans="1:1" x14ac:dyDescent="0.25">
      <c r="A2233" s="7"/>
    </row>
    <row r="2234" spans="1:1" x14ac:dyDescent="0.25">
      <c r="A2234" s="7"/>
    </row>
    <row r="2235" spans="1:1" x14ac:dyDescent="0.25">
      <c r="A2235" s="7"/>
    </row>
    <row r="2236" spans="1:1" x14ac:dyDescent="0.25">
      <c r="A2236" s="7"/>
    </row>
    <row r="2237" spans="1:1" x14ac:dyDescent="0.25">
      <c r="A2237" s="7"/>
    </row>
    <row r="2238" spans="1:1" x14ac:dyDescent="0.25">
      <c r="A2238" s="7"/>
    </row>
    <row r="2239" spans="1:1" x14ac:dyDescent="0.25">
      <c r="A2239" s="7"/>
    </row>
    <row r="2240" spans="1:1" x14ac:dyDescent="0.25">
      <c r="A2240" s="7"/>
    </row>
    <row r="2241" spans="1:1" x14ac:dyDescent="0.25">
      <c r="A2241" s="7"/>
    </row>
    <row r="2242" spans="1:1" x14ac:dyDescent="0.25">
      <c r="A2242" s="7"/>
    </row>
    <row r="2243" spans="1:1" x14ac:dyDescent="0.25">
      <c r="A2243" s="7"/>
    </row>
    <row r="2244" spans="1:1" x14ac:dyDescent="0.25">
      <c r="A2244" s="7"/>
    </row>
    <row r="2245" spans="1:1" x14ac:dyDescent="0.25">
      <c r="A2245" s="7"/>
    </row>
    <row r="2246" spans="1:1" x14ac:dyDescent="0.25">
      <c r="A2246" s="7"/>
    </row>
    <row r="2247" spans="1:1" x14ac:dyDescent="0.25">
      <c r="A2247" s="7"/>
    </row>
    <row r="2248" spans="1:1" x14ac:dyDescent="0.25">
      <c r="A2248" s="7"/>
    </row>
    <row r="2249" spans="1:1" x14ac:dyDescent="0.25">
      <c r="A2249" s="7"/>
    </row>
    <row r="2250" spans="1:1" x14ac:dyDescent="0.25">
      <c r="A2250" s="7"/>
    </row>
    <row r="2251" spans="1:1" x14ac:dyDescent="0.25">
      <c r="A2251" s="7"/>
    </row>
    <row r="2252" spans="1:1" x14ac:dyDescent="0.25">
      <c r="A2252" s="7"/>
    </row>
    <row r="2253" spans="1:1" x14ac:dyDescent="0.25">
      <c r="A2253" s="7"/>
    </row>
    <row r="2254" spans="1:1" x14ac:dyDescent="0.25">
      <c r="A2254" s="7"/>
    </row>
    <row r="2255" spans="1:1" x14ac:dyDescent="0.25">
      <c r="A2255" s="7"/>
    </row>
    <row r="2256" spans="1:1" x14ac:dyDescent="0.25">
      <c r="A2256" s="7"/>
    </row>
    <row r="2257" spans="1:1" x14ac:dyDescent="0.25">
      <c r="A2257" s="7"/>
    </row>
    <row r="2258" spans="1:1" x14ac:dyDescent="0.25">
      <c r="A2258" s="7"/>
    </row>
    <row r="2259" spans="1:1" x14ac:dyDescent="0.25">
      <c r="A2259" s="7"/>
    </row>
    <row r="2260" spans="1:1" x14ac:dyDescent="0.25">
      <c r="A2260" s="7"/>
    </row>
    <row r="2261" spans="1:1" x14ac:dyDescent="0.25">
      <c r="A2261" s="7"/>
    </row>
    <row r="2262" spans="1:1" x14ac:dyDescent="0.25">
      <c r="A2262" s="7"/>
    </row>
    <row r="2263" spans="1:1" x14ac:dyDescent="0.25">
      <c r="A2263" s="7"/>
    </row>
    <row r="2264" spans="1:1" x14ac:dyDescent="0.25">
      <c r="A2264" s="7"/>
    </row>
    <row r="2265" spans="1:1" x14ac:dyDescent="0.25">
      <c r="A2265" s="7"/>
    </row>
    <row r="2266" spans="1:1" x14ac:dyDescent="0.25">
      <c r="A2266" s="7"/>
    </row>
    <row r="2267" spans="1:1" x14ac:dyDescent="0.25">
      <c r="A2267" s="7"/>
    </row>
    <row r="2268" spans="1:1" x14ac:dyDescent="0.25">
      <c r="A2268" s="7"/>
    </row>
    <row r="2269" spans="1:1" x14ac:dyDescent="0.25">
      <c r="A2269" s="7"/>
    </row>
    <row r="2270" spans="1:1" x14ac:dyDescent="0.25">
      <c r="A2270" s="7"/>
    </row>
    <row r="2271" spans="1:1" x14ac:dyDescent="0.25">
      <c r="A2271" s="7"/>
    </row>
    <row r="2272" spans="1:1" x14ac:dyDescent="0.25">
      <c r="A2272" s="7"/>
    </row>
    <row r="2273" spans="1:1" x14ac:dyDescent="0.25">
      <c r="A2273" s="7"/>
    </row>
    <row r="2274" spans="1:1" x14ac:dyDescent="0.25">
      <c r="A2274" s="7"/>
    </row>
    <row r="2275" spans="1:1" x14ac:dyDescent="0.25">
      <c r="A2275" s="7"/>
    </row>
    <row r="2276" spans="1:1" x14ac:dyDescent="0.25">
      <c r="A2276" s="7"/>
    </row>
    <row r="2277" spans="1:1" x14ac:dyDescent="0.25">
      <c r="A2277" s="7"/>
    </row>
    <row r="2278" spans="1:1" x14ac:dyDescent="0.25">
      <c r="A2278" s="7"/>
    </row>
    <row r="2279" spans="1:1" x14ac:dyDescent="0.25">
      <c r="A2279" s="7"/>
    </row>
    <row r="2280" spans="1:1" x14ac:dyDescent="0.25">
      <c r="A2280" s="7"/>
    </row>
    <row r="2281" spans="1:1" x14ac:dyDescent="0.25">
      <c r="A2281" s="7"/>
    </row>
    <row r="2282" spans="1:1" x14ac:dyDescent="0.25">
      <c r="A2282" s="7"/>
    </row>
    <row r="2283" spans="1:1" x14ac:dyDescent="0.25">
      <c r="A2283" s="7"/>
    </row>
    <row r="2284" spans="1:1" x14ac:dyDescent="0.25">
      <c r="A2284" s="7"/>
    </row>
    <row r="2285" spans="1:1" x14ac:dyDescent="0.25">
      <c r="A2285" s="7"/>
    </row>
    <row r="2286" spans="1:1" x14ac:dyDescent="0.25">
      <c r="A2286" s="7"/>
    </row>
    <row r="2287" spans="1:1" x14ac:dyDescent="0.25">
      <c r="A2287" s="7"/>
    </row>
    <row r="2288" spans="1:1" x14ac:dyDescent="0.25">
      <c r="A2288" s="7"/>
    </row>
    <row r="2289" spans="1:1" x14ac:dyDescent="0.25">
      <c r="A2289" s="7"/>
    </row>
    <row r="2290" spans="1:1" x14ac:dyDescent="0.25">
      <c r="A2290" s="7"/>
    </row>
    <row r="2291" spans="1:1" x14ac:dyDescent="0.25">
      <c r="A2291" s="7"/>
    </row>
    <row r="2292" spans="1:1" x14ac:dyDescent="0.25">
      <c r="A2292" s="7"/>
    </row>
    <row r="2293" spans="1:1" x14ac:dyDescent="0.25">
      <c r="A2293" s="7"/>
    </row>
    <row r="2294" spans="1:1" x14ac:dyDescent="0.25">
      <c r="A2294" s="7"/>
    </row>
    <row r="2295" spans="1:1" x14ac:dyDescent="0.25">
      <c r="A2295" s="7"/>
    </row>
    <row r="2296" spans="1:1" x14ac:dyDescent="0.25">
      <c r="A2296" s="7"/>
    </row>
    <row r="2297" spans="1:1" x14ac:dyDescent="0.25">
      <c r="A2297" s="7"/>
    </row>
    <row r="2298" spans="1:1" x14ac:dyDescent="0.25">
      <c r="A2298" s="7"/>
    </row>
    <row r="2299" spans="1:1" x14ac:dyDescent="0.25">
      <c r="A2299" s="7"/>
    </row>
    <row r="2300" spans="1:1" x14ac:dyDescent="0.25">
      <c r="A2300" s="7"/>
    </row>
    <row r="2301" spans="1:1" x14ac:dyDescent="0.25">
      <c r="A2301" s="7"/>
    </row>
    <row r="2302" spans="1:1" x14ac:dyDescent="0.25">
      <c r="A2302" s="7"/>
    </row>
    <row r="2303" spans="1:1" x14ac:dyDescent="0.25">
      <c r="A2303" s="7"/>
    </row>
    <row r="2304" spans="1:1" x14ac:dyDescent="0.25">
      <c r="A2304" s="7"/>
    </row>
    <row r="2305" spans="1:1" x14ac:dyDescent="0.25">
      <c r="A2305" s="7"/>
    </row>
    <row r="2306" spans="1:1" x14ac:dyDescent="0.25">
      <c r="A2306" s="7"/>
    </row>
    <row r="2307" spans="1:1" x14ac:dyDescent="0.25">
      <c r="A2307" s="7"/>
    </row>
    <row r="2308" spans="1:1" x14ac:dyDescent="0.25">
      <c r="A2308" s="7"/>
    </row>
    <row r="2309" spans="1:1" x14ac:dyDescent="0.25">
      <c r="A2309" s="7"/>
    </row>
    <row r="2310" spans="1:1" x14ac:dyDescent="0.25">
      <c r="A2310" s="7"/>
    </row>
    <row r="2311" spans="1:1" x14ac:dyDescent="0.25">
      <c r="A2311" s="7"/>
    </row>
    <row r="2312" spans="1:1" x14ac:dyDescent="0.25">
      <c r="A2312" s="7"/>
    </row>
    <row r="2313" spans="1:1" x14ac:dyDescent="0.25">
      <c r="A2313" s="7"/>
    </row>
    <row r="2314" spans="1:1" x14ac:dyDescent="0.25">
      <c r="A2314" s="7"/>
    </row>
    <row r="2315" spans="1:1" x14ac:dyDescent="0.25">
      <c r="A2315" s="7"/>
    </row>
    <row r="2316" spans="1:1" x14ac:dyDescent="0.25">
      <c r="A2316" s="7"/>
    </row>
    <row r="2317" spans="1:1" x14ac:dyDescent="0.25">
      <c r="A2317" s="7"/>
    </row>
    <row r="2318" spans="1:1" x14ac:dyDescent="0.25">
      <c r="A2318" s="7"/>
    </row>
    <row r="2319" spans="1:1" x14ac:dyDescent="0.25">
      <c r="A2319" s="7"/>
    </row>
    <row r="2320" spans="1:1" x14ac:dyDescent="0.25">
      <c r="A2320" s="7"/>
    </row>
    <row r="2321" spans="1:1" x14ac:dyDescent="0.25">
      <c r="A2321" s="7"/>
    </row>
    <row r="2322" spans="1:1" x14ac:dyDescent="0.25">
      <c r="A2322" s="7"/>
    </row>
    <row r="2323" spans="1:1" x14ac:dyDescent="0.25">
      <c r="A2323" s="7"/>
    </row>
    <row r="2324" spans="1:1" x14ac:dyDescent="0.25">
      <c r="A2324" s="7"/>
    </row>
    <row r="2325" spans="1:1" x14ac:dyDescent="0.25">
      <c r="A2325" s="7"/>
    </row>
    <row r="2326" spans="1:1" x14ac:dyDescent="0.25">
      <c r="A2326" s="7"/>
    </row>
    <row r="2327" spans="1:1" x14ac:dyDescent="0.25">
      <c r="A2327" s="7"/>
    </row>
    <row r="2328" spans="1:1" x14ac:dyDescent="0.25">
      <c r="A2328" s="7"/>
    </row>
    <row r="2329" spans="1:1" x14ac:dyDescent="0.25">
      <c r="A2329" s="7"/>
    </row>
    <row r="2330" spans="1:1" x14ac:dyDescent="0.25">
      <c r="A2330" s="7"/>
    </row>
    <row r="2331" spans="1:1" x14ac:dyDescent="0.25">
      <c r="A2331" s="7"/>
    </row>
    <row r="2332" spans="1:1" x14ac:dyDescent="0.25">
      <c r="A2332" s="7"/>
    </row>
    <row r="2333" spans="1:1" x14ac:dyDescent="0.25">
      <c r="A2333" s="7"/>
    </row>
    <row r="2334" spans="1:1" x14ac:dyDescent="0.25">
      <c r="A2334" s="7"/>
    </row>
    <row r="2335" spans="1:1" x14ac:dyDescent="0.25">
      <c r="A2335" s="7"/>
    </row>
    <row r="2336" spans="1:1" x14ac:dyDescent="0.25">
      <c r="A2336" s="7"/>
    </row>
    <row r="2337" spans="1:1" x14ac:dyDescent="0.25">
      <c r="A2337" s="7"/>
    </row>
    <row r="2338" spans="1:1" x14ac:dyDescent="0.25">
      <c r="A2338" s="7"/>
    </row>
    <row r="2339" spans="1:1" x14ac:dyDescent="0.25">
      <c r="A2339" s="7"/>
    </row>
    <row r="2340" spans="1:1" x14ac:dyDescent="0.25">
      <c r="A2340" s="7"/>
    </row>
    <row r="2341" spans="1:1" x14ac:dyDescent="0.25">
      <c r="A2341" s="7"/>
    </row>
    <row r="2342" spans="1:1" x14ac:dyDescent="0.25">
      <c r="A2342" s="7"/>
    </row>
    <row r="2343" spans="1:1" x14ac:dyDescent="0.25">
      <c r="A2343" s="7"/>
    </row>
    <row r="2344" spans="1:1" x14ac:dyDescent="0.25">
      <c r="A2344" s="7"/>
    </row>
    <row r="2345" spans="1:1" x14ac:dyDescent="0.25">
      <c r="A2345" s="7"/>
    </row>
    <row r="2346" spans="1:1" x14ac:dyDescent="0.25">
      <c r="A2346" s="7"/>
    </row>
    <row r="2347" spans="1:1" x14ac:dyDescent="0.25">
      <c r="A2347" s="7"/>
    </row>
    <row r="2348" spans="1:1" x14ac:dyDescent="0.25">
      <c r="A2348" s="7"/>
    </row>
    <row r="2349" spans="1:1" x14ac:dyDescent="0.25">
      <c r="A2349" s="7"/>
    </row>
    <row r="2350" spans="1:1" x14ac:dyDescent="0.25">
      <c r="A2350" s="7"/>
    </row>
    <row r="2351" spans="1:1" x14ac:dyDescent="0.25">
      <c r="A2351" s="7"/>
    </row>
    <row r="2352" spans="1:1" x14ac:dyDescent="0.25">
      <c r="A2352" s="7"/>
    </row>
    <row r="2353" spans="1:1" x14ac:dyDescent="0.25">
      <c r="A2353" s="7"/>
    </row>
    <row r="2354" spans="1:1" x14ac:dyDescent="0.25">
      <c r="A2354" s="7"/>
    </row>
    <row r="2355" spans="1:1" x14ac:dyDescent="0.25">
      <c r="A2355" s="7"/>
    </row>
    <row r="2356" spans="1:1" x14ac:dyDescent="0.25">
      <c r="A2356" s="7"/>
    </row>
    <row r="2357" spans="1:1" x14ac:dyDescent="0.25">
      <c r="A2357" s="7"/>
    </row>
    <row r="2358" spans="1:1" x14ac:dyDescent="0.25">
      <c r="A2358" s="7"/>
    </row>
    <row r="2359" spans="1:1" x14ac:dyDescent="0.25">
      <c r="A2359" s="7"/>
    </row>
    <row r="2360" spans="1:1" x14ac:dyDescent="0.25">
      <c r="A2360" s="7"/>
    </row>
    <row r="2361" spans="1:1" x14ac:dyDescent="0.25">
      <c r="A2361" s="7"/>
    </row>
    <row r="2362" spans="1:1" x14ac:dyDescent="0.25">
      <c r="A2362" s="7"/>
    </row>
    <row r="2363" spans="1:1" x14ac:dyDescent="0.25">
      <c r="A2363" s="7"/>
    </row>
    <row r="2364" spans="1:1" x14ac:dyDescent="0.25">
      <c r="A2364" s="7"/>
    </row>
    <row r="2365" spans="1:1" x14ac:dyDescent="0.25">
      <c r="A2365" s="7"/>
    </row>
    <row r="2366" spans="1:1" x14ac:dyDescent="0.25">
      <c r="A2366" s="7"/>
    </row>
    <row r="2367" spans="1:1" x14ac:dyDescent="0.25">
      <c r="A2367" s="7"/>
    </row>
    <row r="2368" spans="1:1" x14ac:dyDescent="0.25">
      <c r="A2368" s="7"/>
    </row>
    <row r="2369" spans="1:1" x14ac:dyDescent="0.25">
      <c r="A2369" s="7"/>
    </row>
    <row r="2370" spans="1:1" x14ac:dyDescent="0.25">
      <c r="A2370" s="7"/>
    </row>
    <row r="2371" spans="1:1" x14ac:dyDescent="0.25">
      <c r="A2371" s="7"/>
    </row>
    <row r="2372" spans="1:1" x14ac:dyDescent="0.25">
      <c r="A2372" s="7"/>
    </row>
    <row r="2373" spans="1:1" x14ac:dyDescent="0.25">
      <c r="A2373" s="7"/>
    </row>
    <row r="2374" spans="1:1" x14ac:dyDescent="0.25">
      <c r="A2374" s="7"/>
    </row>
    <row r="2375" spans="1:1" x14ac:dyDescent="0.25">
      <c r="A2375" s="7"/>
    </row>
    <row r="2376" spans="1:1" x14ac:dyDescent="0.25">
      <c r="A2376" s="7"/>
    </row>
    <row r="2377" spans="1:1" x14ac:dyDescent="0.25">
      <c r="A2377" s="7"/>
    </row>
    <row r="2378" spans="1:1" x14ac:dyDescent="0.25">
      <c r="A2378" s="7"/>
    </row>
    <row r="2379" spans="1:1" x14ac:dyDescent="0.25">
      <c r="A2379" s="7"/>
    </row>
    <row r="2380" spans="1:1" x14ac:dyDescent="0.25">
      <c r="A2380" s="7"/>
    </row>
    <row r="2381" spans="1:1" x14ac:dyDescent="0.25">
      <c r="A2381" s="7"/>
    </row>
    <row r="2382" spans="1:1" x14ac:dyDescent="0.25">
      <c r="A2382" s="7"/>
    </row>
    <row r="2383" spans="1:1" x14ac:dyDescent="0.25">
      <c r="A2383" s="7"/>
    </row>
    <row r="2384" spans="1:1" x14ac:dyDescent="0.25">
      <c r="A2384" s="7"/>
    </row>
    <row r="2385" spans="1:1" x14ac:dyDescent="0.25">
      <c r="A2385" s="7"/>
    </row>
    <row r="2386" spans="1:1" x14ac:dyDescent="0.25">
      <c r="A2386" s="7"/>
    </row>
    <row r="2387" spans="1:1" x14ac:dyDescent="0.25">
      <c r="A2387" s="7"/>
    </row>
    <row r="2388" spans="1:1" x14ac:dyDescent="0.25">
      <c r="A2388" s="7"/>
    </row>
    <row r="2389" spans="1:1" x14ac:dyDescent="0.25">
      <c r="A2389" s="7"/>
    </row>
    <row r="2390" spans="1:1" x14ac:dyDescent="0.25">
      <c r="A2390" s="7"/>
    </row>
    <row r="2391" spans="1:1" x14ac:dyDescent="0.25">
      <c r="A2391" s="7"/>
    </row>
    <row r="2392" spans="1:1" x14ac:dyDescent="0.25">
      <c r="A2392" s="7"/>
    </row>
    <row r="2393" spans="1:1" x14ac:dyDescent="0.25">
      <c r="A2393" s="7"/>
    </row>
    <row r="2394" spans="1:1" x14ac:dyDescent="0.25">
      <c r="A2394" s="7"/>
    </row>
    <row r="2395" spans="1:1" x14ac:dyDescent="0.25">
      <c r="A2395" s="7"/>
    </row>
    <row r="2396" spans="1:1" x14ac:dyDescent="0.25">
      <c r="A2396" s="7"/>
    </row>
    <row r="2397" spans="1:1" x14ac:dyDescent="0.25">
      <c r="A2397" s="7"/>
    </row>
    <row r="2398" spans="1:1" x14ac:dyDescent="0.25">
      <c r="A2398" s="7"/>
    </row>
    <row r="2399" spans="1:1" x14ac:dyDescent="0.25">
      <c r="A2399" s="7"/>
    </row>
    <row r="2400" spans="1:1" x14ac:dyDescent="0.25">
      <c r="A2400" s="7"/>
    </row>
    <row r="2401" spans="1:1" x14ac:dyDescent="0.25">
      <c r="A2401" s="7"/>
    </row>
    <row r="2402" spans="1:1" x14ac:dyDescent="0.25">
      <c r="A2402" s="7"/>
    </row>
    <row r="2403" spans="1:1" x14ac:dyDescent="0.25">
      <c r="A2403" s="7"/>
    </row>
    <row r="2404" spans="1:1" x14ac:dyDescent="0.25">
      <c r="A2404" s="7"/>
    </row>
    <row r="2405" spans="1:1" x14ac:dyDescent="0.25">
      <c r="A2405" s="7"/>
    </row>
    <row r="2406" spans="1:1" x14ac:dyDescent="0.25">
      <c r="A2406" s="7"/>
    </row>
    <row r="2407" spans="1:1" x14ac:dyDescent="0.25">
      <c r="A2407" s="7"/>
    </row>
    <row r="2408" spans="1:1" x14ac:dyDescent="0.25">
      <c r="A2408" s="7"/>
    </row>
    <row r="2409" spans="1:1" x14ac:dyDescent="0.25">
      <c r="A2409" s="7"/>
    </row>
    <row r="2410" spans="1:1" x14ac:dyDescent="0.25">
      <c r="A2410" s="7"/>
    </row>
    <row r="2411" spans="1:1" x14ac:dyDescent="0.25">
      <c r="A2411" s="7"/>
    </row>
    <row r="2412" spans="1:1" x14ac:dyDescent="0.25">
      <c r="A2412" s="7"/>
    </row>
    <row r="2413" spans="1:1" x14ac:dyDescent="0.25">
      <c r="A2413" s="7"/>
    </row>
    <row r="2414" spans="1:1" x14ac:dyDescent="0.25">
      <c r="A2414" s="7"/>
    </row>
    <row r="2415" spans="1:1" x14ac:dyDescent="0.25">
      <c r="A2415" s="7"/>
    </row>
    <row r="2416" spans="1:1" x14ac:dyDescent="0.25">
      <c r="A2416" s="7"/>
    </row>
    <row r="2417" spans="1:1" x14ac:dyDescent="0.25">
      <c r="A2417" s="7"/>
    </row>
    <row r="2418" spans="1:1" x14ac:dyDescent="0.25">
      <c r="A2418" s="7"/>
    </row>
    <row r="2419" spans="1:1" x14ac:dyDescent="0.25">
      <c r="A2419" s="7"/>
    </row>
    <row r="2420" spans="1:1" x14ac:dyDescent="0.25">
      <c r="A2420" s="7"/>
    </row>
    <row r="2421" spans="1:1" x14ac:dyDescent="0.25">
      <c r="A2421" s="7"/>
    </row>
    <row r="2422" spans="1:1" x14ac:dyDescent="0.25">
      <c r="A2422" s="7"/>
    </row>
    <row r="2423" spans="1:1" x14ac:dyDescent="0.25">
      <c r="A2423" s="7"/>
    </row>
    <row r="2424" spans="1:1" x14ac:dyDescent="0.25">
      <c r="A2424" s="7"/>
    </row>
    <row r="2425" spans="1:1" x14ac:dyDescent="0.25">
      <c r="A2425" s="7"/>
    </row>
    <row r="2426" spans="1:1" x14ac:dyDescent="0.25">
      <c r="A2426" s="7"/>
    </row>
    <row r="2427" spans="1:1" x14ac:dyDescent="0.25">
      <c r="A2427" s="7"/>
    </row>
    <row r="2428" spans="1:1" x14ac:dyDescent="0.25">
      <c r="A2428" s="7"/>
    </row>
    <row r="2429" spans="1:1" x14ac:dyDescent="0.25">
      <c r="A2429" s="7"/>
    </row>
    <row r="2430" spans="1:1" x14ac:dyDescent="0.25">
      <c r="A2430" s="7"/>
    </row>
    <row r="2431" spans="1:1" x14ac:dyDescent="0.25">
      <c r="A2431" s="7"/>
    </row>
    <row r="2432" spans="1:1" x14ac:dyDescent="0.25">
      <c r="A2432" s="7"/>
    </row>
    <row r="2433" spans="1:1" x14ac:dyDescent="0.25">
      <c r="A2433" s="7"/>
    </row>
    <row r="2434" spans="1:1" x14ac:dyDescent="0.25">
      <c r="A2434" s="7"/>
    </row>
    <row r="2435" spans="1:1" x14ac:dyDescent="0.25">
      <c r="A2435" s="7"/>
    </row>
    <row r="2436" spans="1:1" x14ac:dyDescent="0.25">
      <c r="A2436" s="7"/>
    </row>
    <row r="2437" spans="1:1" x14ac:dyDescent="0.25">
      <c r="A2437" s="7"/>
    </row>
    <row r="2438" spans="1:1" x14ac:dyDescent="0.25">
      <c r="A2438" s="7"/>
    </row>
    <row r="2439" spans="1:1" x14ac:dyDescent="0.25">
      <c r="A2439" s="7"/>
    </row>
    <row r="2440" spans="1:1" x14ac:dyDescent="0.25">
      <c r="A2440" s="7"/>
    </row>
    <row r="2441" spans="1:1" x14ac:dyDescent="0.25">
      <c r="A2441" s="7"/>
    </row>
    <row r="2442" spans="1:1" x14ac:dyDescent="0.25">
      <c r="A2442" s="7"/>
    </row>
    <row r="2443" spans="1:1" x14ac:dyDescent="0.25">
      <c r="A2443" s="7"/>
    </row>
    <row r="2444" spans="1:1" x14ac:dyDescent="0.25">
      <c r="A2444" s="7"/>
    </row>
    <row r="2445" spans="1:1" x14ac:dyDescent="0.25">
      <c r="A2445" s="7"/>
    </row>
    <row r="2446" spans="1:1" x14ac:dyDescent="0.25">
      <c r="A2446" s="7"/>
    </row>
    <row r="2447" spans="1:1" x14ac:dyDescent="0.25">
      <c r="A2447" s="7"/>
    </row>
    <row r="2448" spans="1:1" x14ac:dyDescent="0.25">
      <c r="A2448" s="7"/>
    </row>
    <row r="2449" spans="1:1" x14ac:dyDescent="0.25">
      <c r="A2449" s="7"/>
    </row>
    <row r="2450" spans="1:1" x14ac:dyDescent="0.25">
      <c r="A2450" s="7"/>
    </row>
    <row r="2451" spans="1:1" x14ac:dyDescent="0.25">
      <c r="A2451" s="7"/>
    </row>
    <row r="2452" spans="1:1" x14ac:dyDescent="0.25">
      <c r="A2452" s="7"/>
    </row>
    <row r="2453" spans="1:1" x14ac:dyDescent="0.25">
      <c r="A2453" s="7"/>
    </row>
    <row r="2454" spans="1:1" x14ac:dyDescent="0.25">
      <c r="A2454" s="7"/>
    </row>
    <row r="2455" spans="1:1" x14ac:dyDescent="0.25">
      <c r="A2455" s="7"/>
    </row>
    <row r="2456" spans="1:1" x14ac:dyDescent="0.25">
      <c r="A2456" s="7"/>
    </row>
    <row r="2457" spans="1:1" x14ac:dyDescent="0.25">
      <c r="A2457" s="7"/>
    </row>
    <row r="2458" spans="1:1" x14ac:dyDescent="0.25">
      <c r="A2458" s="7"/>
    </row>
    <row r="2459" spans="1:1" x14ac:dyDescent="0.25">
      <c r="A2459" s="7"/>
    </row>
    <row r="2460" spans="1:1" x14ac:dyDescent="0.25">
      <c r="A2460" s="7"/>
    </row>
    <row r="2461" spans="1:1" x14ac:dyDescent="0.25">
      <c r="A2461" s="7"/>
    </row>
    <row r="2462" spans="1:1" x14ac:dyDescent="0.25">
      <c r="A2462" s="7"/>
    </row>
    <row r="2463" spans="1:1" x14ac:dyDescent="0.25">
      <c r="A2463" s="7"/>
    </row>
    <row r="2464" spans="1:1" x14ac:dyDescent="0.25">
      <c r="A2464" s="7"/>
    </row>
    <row r="2465" spans="1:1" x14ac:dyDescent="0.25">
      <c r="A2465" s="7"/>
    </row>
    <row r="2466" spans="1:1" x14ac:dyDescent="0.25">
      <c r="A2466" s="7"/>
    </row>
    <row r="2467" spans="1:1" x14ac:dyDescent="0.25">
      <c r="A2467" s="7"/>
    </row>
    <row r="2468" spans="1:1" x14ac:dyDescent="0.25">
      <c r="A2468" s="7"/>
    </row>
    <row r="2469" spans="1:1" x14ac:dyDescent="0.25">
      <c r="A2469" s="7"/>
    </row>
    <row r="2470" spans="1:1" x14ac:dyDescent="0.25">
      <c r="A2470" s="7"/>
    </row>
    <row r="2471" spans="1:1" x14ac:dyDescent="0.25">
      <c r="A2471" s="7"/>
    </row>
    <row r="2472" spans="1:1" x14ac:dyDescent="0.25">
      <c r="A2472" s="7"/>
    </row>
    <row r="2473" spans="1:1" x14ac:dyDescent="0.25">
      <c r="A2473" s="7"/>
    </row>
    <row r="2474" spans="1:1" x14ac:dyDescent="0.25">
      <c r="A2474" s="7"/>
    </row>
    <row r="2475" spans="1:1" x14ac:dyDescent="0.25">
      <c r="A2475" s="7"/>
    </row>
    <row r="2476" spans="1:1" x14ac:dyDescent="0.25">
      <c r="A2476" s="7"/>
    </row>
    <row r="2477" spans="1:1" x14ac:dyDescent="0.25">
      <c r="A2477" s="7"/>
    </row>
    <row r="2478" spans="1:1" x14ac:dyDescent="0.25">
      <c r="A2478" s="7"/>
    </row>
    <row r="2479" spans="1:1" x14ac:dyDescent="0.25">
      <c r="A2479" s="7"/>
    </row>
    <row r="2480" spans="1:1" x14ac:dyDescent="0.25">
      <c r="A2480" s="7"/>
    </row>
    <row r="2481" spans="1:1" x14ac:dyDescent="0.25">
      <c r="A2481" s="7"/>
    </row>
    <row r="2482" spans="1:1" x14ac:dyDescent="0.25">
      <c r="A2482" s="7"/>
    </row>
    <row r="2483" spans="1:1" x14ac:dyDescent="0.25">
      <c r="A2483" s="7"/>
    </row>
    <row r="2484" spans="1:1" x14ac:dyDescent="0.25">
      <c r="A2484" s="7"/>
    </row>
    <row r="2485" spans="1:1" x14ac:dyDescent="0.25">
      <c r="A2485" s="7"/>
    </row>
    <row r="2486" spans="1:1" x14ac:dyDescent="0.25">
      <c r="A2486" s="7"/>
    </row>
    <row r="2487" spans="1:1" x14ac:dyDescent="0.25">
      <c r="A2487" s="7"/>
    </row>
    <row r="2488" spans="1:1" x14ac:dyDescent="0.25">
      <c r="A2488" s="7"/>
    </row>
    <row r="2489" spans="1:1" x14ac:dyDescent="0.25">
      <c r="A2489" s="7"/>
    </row>
    <row r="2490" spans="1:1" x14ac:dyDescent="0.25">
      <c r="A2490" s="7"/>
    </row>
    <row r="2491" spans="1:1" x14ac:dyDescent="0.25">
      <c r="A2491" s="7"/>
    </row>
    <row r="2492" spans="1:1" x14ac:dyDescent="0.25">
      <c r="A2492" s="7"/>
    </row>
    <row r="2493" spans="1:1" x14ac:dyDescent="0.25">
      <c r="A2493" s="7"/>
    </row>
    <row r="2494" spans="1:1" x14ac:dyDescent="0.25">
      <c r="A2494" s="7"/>
    </row>
    <row r="2495" spans="1:1" x14ac:dyDescent="0.25">
      <c r="A2495" s="7"/>
    </row>
    <row r="2496" spans="1:1" x14ac:dyDescent="0.25">
      <c r="A2496" s="7"/>
    </row>
    <row r="2497" spans="1:1" x14ac:dyDescent="0.25">
      <c r="A2497" s="7"/>
    </row>
    <row r="2498" spans="1:1" x14ac:dyDescent="0.25">
      <c r="A2498" s="7"/>
    </row>
    <row r="2499" spans="1:1" x14ac:dyDescent="0.25">
      <c r="A2499" s="7"/>
    </row>
    <row r="2500" spans="1:1" x14ac:dyDescent="0.25">
      <c r="A2500" s="7"/>
    </row>
    <row r="2501" spans="1:1" x14ac:dyDescent="0.25">
      <c r="A2501" s="7"/>
    </row>
    <row r="2502" spans="1:1" x14ac:dyDescent="0.25">
      <c r="A2502" s="7"/>
    </row>
    <row r="2503" spans="1:1" x14ac:dyDescent="0.25">
      <c r="A2503" s="7"/>
    </row>
    <row r="2504" spans="1:1" x14ac:dyDescent="0.25">
      <c r="A2504" s="7"/>
    </row>
    <row r="2505" spans="1:1" x14ac:dyDescent="0.25">
      <c r="A2505" s="7"/>
    </row>
    <row r="2506" spans="1:1" x14ac:dyDescent="0.25">
      <c r="A2506" s="7"/>
    </row>
    <row r="2507" spans="1:1" x14ac:dyDescent="0.25">
      <c r="A2507" s="7"/>
    </row>
    <row r="2508" spans="1:1" x14ac:dyDescent="0.25">
      <c r="A2508" s="7"/>
    </row>
    <row r="2509" spans="1:1" x14ac:dyDescent="0.25">
      <c r="A2509" s="7"/>
    </row>
    <row r="2510" spans="1:1" x14ac:dyDescent="0.25">
      <c r="A2510" s="7"/>
    </row>
    <row r="2511" spans="1:1" x14ac:dyDescent="0.25">
      <c r="A2511" s="7"/>
    </row>
    <row r="2512" spans="1:1" x14ac:dyDescent="0.25">
      <c r="A2512" s="7"/>
    </row>
    <row r="2513" spans="1:1" x14ac:dyDescent="0.25">
      <c r="A2513" s="7"/>
    </row>
    <row r="2514" spans="1:1" x14ac:dyDescent="0.25">
      <c r="A2514" s="7"/>
    </row>
    <row r="2515" spans="1:1" x14ac:dyDescent="0.25">
      <c r="A2515" s="7"/>
    </row>
    <row r="2516" spans="1:1" x14ac:dyDescent="0.25">
      <c r="A2516" s="7"/>
    </row>
    <row r="2517" spans="1:1" x14ac:dyDescent="0.25">
      <c r="A2517" s="7"/>
    </row>
    <row r="2518" spans="1:1" x14ac:dyDescent="0.25">
      <c r="A2518" s="7"/>
    </row>
    <row r="2519" spans="1:1" x14ac:dyDescent="0.25">
      <c r="A2519" s="7"/>
    </row>
    <row r="2520" spans="1:1" x14ac:dyDescent="0.25">
      <c r="A2520" s="7"/>
    </row>
    <row r="2521" spans="1:1" x14ac:dyDescent="0.25">
      <c r="A2521" s="7"/>
    </row>
    <row r="2522" spans="1:1" x14ac:dyDescent="0.25">
      <c r="A2522" s="7"/>
    </row>
    <row r="2523" spans="1:1" x14ac:dyDescent="0.25">
      <c r="A2523" s="7"/>
    </row>
    <row r="2524" spans="1:1" x14ac:dyDescent="0.25">
      <c r="A2524" s="7"/>
    </row>
    <row r="2525" spans="1:1" x14ac:dyDescent="0.25">
      <c r="A2525" s="7"/>
    </row>
    <row r="2526" spans="1:1" x14ac:dyDescent="0.25">
      <c r="A2526" s="7"/>
    </row>
    <row r="2527" spans="1:1" x14ac:dyDescent="0.25">
      <c r="A2527" s="7"/>
    </row>
    <row r="2528" spans="1:1" x14ac:dyDescent="0.25">
      <c r="A2528" s="7"/>
    </row>
    <row r="2529" spans="1:1" x14ac:dyDescent="0.25">
      <c r="A2529" s="7"/>
    </row>
    <row r="2530" spans="1:1" x14ac:dyDescent="0.25">
      <c r="A2530" s="7"/>
    </row>
    <row r="2531" spans="1:1" x14ac:dyDescent="0.25">
      <c r="A2531" s="7"/>
    </row>
    <row r="2532" spans="1:1" x14ac:dyDescent="0.25">
      <c r="A2532" s="7"/>
    </row>
    <row r="2533" spans="1:1" x14ac:dyDescent="0.25">
      <c r="A2533" s="7"/>
    </row>
    <row r="2534" spans="1:1" x14ac:dyDescent="0.25">
      <c r="A2534" s="7"/>
    </row>
    <row r="2535" spans="1:1" x14ac:dyDescent="0.25">
      <c r="A2535" s="7"/>
    </row>
    <row r="2536" spans="1:1" x14ac:dyDescent="0.25">
      <c r="A2536" s="7"/>
    </row>
    <row r="2537" spans="1:1" x14ac:dyDescent="0.25">
      <c r="A2537" s="7"/>
    </row>
    <row r="2538" spans="1:1" x14ac:dyDescent="0.25">
      <c r="A2538" s="7"/>
    </row>
    <row r="2539" spans="1:1" x14ac:dyDescent="0.25">
      <c r="A2539" s="7"/>
    </row>
    <row r="2540" spans="1:1" x14ac:dyDescent="0.25">
      <c r="A2540" s="7"/>
    </row>
    <row r="2541" spans="1:1" x14ac:dyDescent="0.25">
      <c r="A2541" s="7"/>
    </row>
    <row r="2542" spans="1:1" x14ac:dyDescent="0.25">
      <c r="A2542" s="7"/>
    </row>
    <row r="2543" spans="1:1" x14ac:dyDescent="0.25">
      <c r="A2543" s="7"/>
    </row>
    <row r="2544" spans="1:1" x14ac:dyDescent="0.25">
      <c r="A2544" s="7"/>
    </row>
    <row r="2545" spans="1:1" x14ac:dyDescent="0.25">
      <c r="A2545" s="7"/>
    </row>
    <row r="2546" spans="1:1" x14ac:dyDescent="0.25">
      <c r="A2546" s="7"/>
    </row>
    <row r="2547" spans="1:1" x14ac:dyDescent="0.25">
      <c r="A2547" s="7"/>
    </row>
    <row r="2548" spans="1:1" x14ac:dyDescent="0.25">
      <c r="A2548" s="7"/>
    </row>
    <row r="2549" spans="1:1" x14ac:dyDescent="0.25">
      <c r="A2549" s="7"/>
    </row>
    <row r="2550" spans="1:1" x14ac:dyDescent="0.25">
      <c r="A2550" s="7"/>
    </row>
    <row r="2551" spans="1:1" x14ac:dyDescent="0.25">
      <c r="A2551" s="7"/>
    </row>
    <row r="2552" spans="1:1" x14ac:dyDescent="0.25">
      <c r="A2552" s="7"/>
    </row>
    <row r="2553" spans="1:1" x14ac:dyDescent="0.25">
      <c r="A2553" s="7"/>
    </row>
    <row r="2554" spans="1:1" x14ac:dyDescent="0.25">
      <c r="A2554" s="7"/>
    </row>
    <row r="2555" spans="1:1" x14ac:dyDescent="0.25">
      <c r="A2555" s="7"/>
    </row>
    <row r="2556" spans="1:1" x14ac:dyDescent="0.25">
      <c r="A2556" s="7"/>
    </row>
    <row r="2557" spans="1:1" x14ac:dyDescent="0.25">
      <c r="A2557" s="7"/>
    </row>
    <row r="2558" spans="1:1" x14ac:dyDescent="0.25">
      <c r="A2558" s="7"/>
    </row>
    <row r="2559" spans="1:1" x14ac:dyDescent="0.25">
      <c r="A2559" s="7"/>
    </row>
    <row r="2560" spans="1:1" x14ac:dyDescent="0.25">
      <c r="A2560" s="7"/>
    </row>
    <row r="2561" spans="1:1" x14ac:dyDescent="0.25">
      <c r="A2561" s="7"/>
    </row>
    <row r="2562" spans="1:1" x14ac:dyDescent="0.25">
      <c r="A2562" s="7"/>
    </row>
    <row r="2563" spans="1:1" x14ac:dyDescent="0.25">
      <c r="A2563" s="7"/>
    </row>
    <row r="2564" spans="1:1" x14ac:dyDescent="0.25">
      <c r="A2564" s="7"/>
    </row>
    <row r="2565" spans="1:1" x14ac:dyDescent="0.25">
      <c r="A2565" s="7"/>
    </row>
    <row r="2566" spans="1:1" x14ac:dyDescent="0.25">
      <c r="A2566" s="7"/>
    </row>
    <row r="2567" spans="1:1" x14ac:dyDescent="0.25">
      <c r="A2567" s="7"/>
    </row>
    <row r="2568" spans="1:1" x14ac:dyDescent="0.25">
      <c r="A2568" s="7"/>
    </row>
    <row r="2569" spans="1:1" x14ac:dyDescent="0.25">
      <c r="A2569" s="7"/>
    </row>
    <row r="2570" spans="1:1" x14ac:dyDescent="0.25">
      <c r="A2570" s="7"/>
    </row>
    <row r="2571" spans="1:1" x14ac:dyDescent="0.25">
      <c r="A2571" s="7"/>
    </row>
    <row r="2572" spans="1:1" x14ac:dyDescent="0.25">
      <c r="A2572" s="7"/>
    </row>
    <row r="2573" spans="1:1" x14ac:dyDescent="0.25">
      <c r="A2573" s="7"/>
    </row>
    <row r="2574" spans="1:1" x14ac:dyDescent="0.25">
      <c r="A2574" s="7"/>
    </row>
    <row r="2575" spans="1:1" x14ac:dyDescent="0.25">
      <c r="A2575" s="7"/>
    </row>
    <row r="2576" spans="1:1" x14ac:dyDescent="0.25">
      <c r="A2576" s="7"/>
    </row>
    <row r="2577" spans="1:1" x14ac:dyDescent="0.25">
      <c r="A2577" s="7"/>
    </row>
    <row r="2578" spans="1:1" x14ac:dyDescent="0.25">
      <c r="A2578" s="7"/>
    </row>
    <row r="2579" spans="1:1" x14ac:dyDescent="0.25">
      <c r="A2579" s="7"/>
    </row>
    <row r="2580" spans="1:1" x14ac:dyDescent="0.25">
      <c r="A2580" s="7"/>
    </row>
    <row r="2581" spans="1:1" x14ac:dyDescent="0.25">
      <c r="A2581" s="7"/>
    </row>
    <row r="2582" spans="1:1" x14ac:dyDescent="0.25">
      <c r="A2582" s="7"/>
    </row>
    <row r="2583" spans="1:1" x14ac:dyDescent="0.25">
      <c r="A2583" s="7"/>
    </row>
    <row r="2584" spans="1:1" x14ac:dyDescent="0.25">
      <c r="A2584" s="7"/>
    </row>
    <row r="2585" spans="1:1" x14ac:dyDescent="0.25">
      <c r="A2585" s="7"/>
    </row>
    <row r="2586" spans="1:1" x14ac:dyDescent="0.25">
      <c r="A2586" s="7"/>
    </row>
    <row r="2587" spans="1:1" x14ac:dyDescent="0.25">
      <c r="A2587" s="7"/>
    </row>
    <row r="2588" spans="1:1" x14ac:dyDescent="0.25">
      <c r="A2588" s="7"/>
    </row>
    <row r="2589" spans="1:1" x14ac:dyDescent="0.25">
      <c r="A2589" s="7"/>
    </row>
    <row r="2590" spans="1:1" x14ac:dyDescent="0.25">
      <c r="A2590" s="7"/>
    </row>
    <row r="2591" spans="1:1" x14ac:dyDescent="0.25">
      <c r="A2591" s="7"/>
    </row>
    <row r="2592" spans="1:1" x14ac:dyDescent="0.25">
      <c r="A2592" s="7"/>
    </row>
    <row r="2593" spans="1:1" x14ac:dyDescent="0.25">
      <c r="A2593" s="7"/>
    </row>
    <row r="2594" spans="1:1" x14ac:dyDescent="0.25">
      <c r="A2594" s="7"/>
    </row>
    <row r="2595" spans="1:1" x14ac:dyDescent="0.25">
      <c r="A2595" s="7"/>
    </row>
    <row r="2596" spans="1:1" x14ac:dyDescent="0.25">
      <c r="A2596" s="7"/>
    </row>
    <row r="2597" spans="1:1" x14ac:dyDescent="0.25">
      <c r="A2597" s="7"/>
    </row>
    <row r="2598" spans="1:1" x14ac:dyDescent="0.25">
      <c r="A2598" s="7"/>
    </row>
    <row r="2599" spans="1:1" x14ac:dyDescent="0.25">
      <c r="A2599" s="7"/>
    </row>
    <row r="2600" spans="1:1" x14ac:dyDescent="0.25">
      <c r="A2600" s="7"/>
    </row>
    <row r="2601" spans="1:1" x14ac:dyDescent="0.25">
      <c r="A2601" s="7"/>
    </row>
    <row r="2602" spans="1:1" x14ac:dyDescent="0.25">
      <c r="A2602" s="7"/>
    </row>
    <row r="2603" spans="1:1" x14ac:dyDescent="0.25">
      <c r="A2603" s="7"/>
    </row>
    <row r="2604" spans="1:1" x14ac:dyDescent="0.25">
      <c r="A2604" s="7"/>
    </row>
    <row r="2605" spans="1:1" x14ac:dyDescent="0.25">
      <c r="A2605" s="7"/>
    </row>
    <row r="2606" spans="1:1" x14ac:dyDescent="0.25">
      <c r="A2606" s="7"/>
    </row>
    <row r="2607" spans="1:1" x14ac:dyDescent="0.25">
      <c r="A2607" s="7"/>
    </row>
    <row r="2608" spans="1:1" x14ac:dyDescent="0.25">
      <c r="A2608" s="7"/>
    </row>
    <row r="2609" spans="1:1" x14ac:dyDescent="0.25">
      <c r="A2609" s="7"/>
    </row>
    <row r="2610" spans="1:1" x14ac:dyDescent="0.25">
      <c r="A2610" s="7"/>
    </row>
    <row r="2611" spans="1:1" x14ac:dyDescent="0.25">
      <c r="A2611" s="7"/>
    </row>
    <row r="2612" spans="1:1" x14ac:dyDescent="0.25">
      <c r="A2612" s="7"/>
    </row>
    <row r="2613" spans="1:1" x14ac:dyDescent="0.25">
      <c r="A2613" s="7"/>
    </row>
    <row r="2614" spans="1:1" x14ac:dyDescent="0.25">
      <c r="A2614" s="7"/>
    </row>
    <row r="2615" spans="1:1" x14ac:dyDescent="0.25">
      <c r="A2615" s="7"/>
    </row>
    <row r="2616" spans="1:1" x14ac:dyDescent="0.25">
      <c r="A2616" s="7"/>
    </row>
    <row r="2617" spans="1:1" x14ac:dyDescent="0.25">
      <c r="A2617" s="7"/>
    </row>
    <row r="2618" spans="1:1" x14ac:dyDescent="0.25">
      <c r="A2618" s="7"/>
    </row>
    <row r="2619" spans="1:1" x14ac:dyDescent="0.25">
      <c r="A2619" s="7"/>
    </row>
    <row r="2620" spans="1:1" x14ac:dyDescent="0.25">
      <c r="A2620" s="7"/>
    </row>
    <row r="2621" spans="1:1" x14ac:dyDescent="0.25">
      <c r="A2621" s="7"/>
    </row>
    <row r="2622" spans="1:1" x14ac:dyDescent="0.25">
      <c r="A2622" s="7"/>
    </row>
    <row r="2623" spans="1:1" x14ac:dyDescent="0.25">
      <c r="A2623" s="7"/>
    </row>
    <row r="2624" spans="1:1" x14ac:dyDescent="0.25">
      <c r="A2624" s="7"/>
    </row>
    <row r="2625" spans="1:1" x14ac:dyDescent="0.25">
      <c r="A2625" s="7"/>
    </row>
    <row r="2626" spans="1:1" x14ac:dyDescent="0.25">
      <c r="A2626" s="7"/>
    </row>
    <row r="2627" spans="1:1" x14ac:dyDescent="0.25">
      <c r="A2627" s="7"/>
    </row>
    <row r="2628" spans="1:1" x14ac:dyDescent="0.25">
      <c r="A2628" s="7"/>
    </row>
    <row r="2629" spans="1:1" x14ac:dyDescent="0.25">
      <c r="A2629" s="7"/>
    </row>
    <row r="2630" spans="1:1" x14ac:dyDescent="0.25">
      <c r="A2630" s="7"/>
    </row>
    <row r="2631" spans="1:1" x14ac:dyDescent="0.25">
      <c r="A2631" s="7"/>
    </row>
    <row r="2632" spans="1:1" x14ac:dyDescent="0.25">
      <c r="A2632" s="7"/>
    </row>
    <row r="2633" spans="1:1" x14ac:dyDescent="0.25">
      <c r="A2633" s="7"/>
    </row>
    <row r="2634" spans="1:1" x14ac:dyDescent="0.25">
      <c r="A2634" s="7"/>
    </row>
    <row r="2635" spans="1:1" x14ac:dyDescent="0.25">
      <c r="A2635" s="7"/>
    </row>
    <row r="2636" spans="1:1" x14ac:dyDescent="0.25">
      <c r="A2636" s="7"/>
    </row>
    <row r="2637" spans="1:1" x14ac:dyDescent="0.25">
      <c r="A2637" s="7"/>
    </row>
    <row r="2638" spans="1:1" x14ac:dyDescent="0.25">
      <c r="A2638" s="7"/>
    </row>
    <row r="2639" spans="1:1" x14ac:dyDescent="0.25">
      <c r="A2639" s="7"/>
    </row>
    <row r="2640" spans="1:1" x14ac:dyDescent="0.25">
      <c r="A2640" s="7"/>
    </row>
    <row r="2641" spans="1:1" x14ac:dyDescent="0.25">
      <c r="A2641" s="7"/>
    </row>
    <row r="2642" spans="1:1" x14ac:dyDescent="0.25">
      <c r="A2642" s="7"/>
    </row>
    <row r="2643" spans="1:1" x14ac:dyDescent="0.25">
      <c r="A2643" s="7"/>
    </row>
    <row r="2644" spans="1:1" x14ac:dyDescent="0.25">
      <c r="A2644" s="7"/>
    </row>
    <row r="2645" spans="1:1" x14ac:dyDescent="0.25">
      <c r="A2645" s="7"/>
    </row>
    <row r="2646" spans="1:1" x14ac:dyDescent="0.25">
      <c r="A2646" s="7"/>
    </row>
    <row r="2647" spans="1:1" x14ac:dyDescent="0.25">
      <c r="A2647" s="7"/>
    </row>
    <row r="2648" spans="1:1" x14ac:dyDescent="0.25">
      <c r="A2648" s="7"/>
    </row>
    <row r="2649" spans="1:1" x14ac:dyDescent="0.25">
      <c r="A2649" s="7"/>
    </row>
    <row r="2650" spans="1:1" x14ac:dyDescent="0.25">
      <c r="A2650" s="7"/>
    </row>
    <row r="2651" spans="1:1" x14ac:dyDescent="0.25">
      <c r="A2651" s="7"/>
    </row>
    <row r="2652" spans="1:1" x14ac:dyDescent="0.25">
      <c r="A2652" s="7"/>
    </row>
    <row r="2653" spans="1:1" x14ac:dyDescent="0.25">
      <c r="A2653" s="7"/>
    </row>
    <row r="2654" spans="1:1" x14ac:dyDescent="0.25">
      <c r="A2654" s="7"/>
    </row>
    <row r="2655" spans="1:1" x14ac:dyDescent="0.25">
      <c r="A2655" s="7"/>
    </row>
    <row r="2656" spans="1:1" x14ac:dyDescent="0.25">
      <c r="A2656" s="7"/>
    </row>
    <row r="2657" spans="1:1" x14ac:dyDescent="0.25">
      <c r="A2657" s="7"/>
    </row>
    <row r="2658" spans="1:1" x14ac:dyDescent="0.25">
      <c r="A2658" s="7"/>
    </row>
    <row r="2659" spans="1:1" x14ac:dyDescent="0.25">
      <c r="A2659" s="7"/>
    </row>
    <row r="2660" spans="1:1" x14ac:dyDescent="0.25">
      <c r="A2660" s="7"/>
    </row>
    <row r="2661" spans="1:1" x14ac:dyDescent="0.25">
      <c r="A2661" s="7"/>
    </row>
    <row r="2662" spans="1:1" x14ac:dyDescent="0.25">
      <c r="A2662" s="7"/>
    </row>
    <row r="2663" spans="1:1" x14ac:dyDescent="0.25">
      <c r="A2663" s="7"/>
    </row>
    <row r="2664" spans="1:1" x14ac:dyDescent="0.25">
      <c r="A2664" s="7"/>
    </row>
    <row r="2665" spans="1:1" x14ac:dyDescent="0.25">
      <c r="A2665" s="7"/>
    </row>
    <row r="2666" spans="1:1" x14ac:dyDescent="0.25">
      <c r="A2666" s="7"/>
    </row>
    <row r="2667" spans="1:1" x14ac:dyDescent="0.25">
      <c r="A2667" s="7"/>
    </row>
    <row r="2668" spans="1:1" x14ac:dyDescent="0.25">
      <c r="A2668" s="7"/>
    </row>
    <row r="2669" spans="1:1" x14ac:dyDescent="0.25">
      <c r="A2669" s="7"/>
    </row>
    <row r="2670" spans="1:1" x14ac:dyDescent="0.25">
      <c r="A2670" s="7"/>
    </row>
    <row r="2671" spans="1:1" x14ac:dyDescent="0.25">
      <c r="A2671" s="7"/>
    </row>
    <row r="2672" spans="1:1" x14ac:dyDescent="0.25">
      <c r="A2672" s="7"/>
    </row>
    <row r="2673" spans="1:1" x14ac:dyDescent="0.25">
      <c r="A2673" s="7"/>
    </row>
    <row r="2674" spans="1:1" x14ac:dyDescent="0.25">
      <c r="A2674" s="7"/>
    </row>
    <row r="2675" spans="1:1" x14ac:dyDescent="0.25">
      <c r="A2675" s="7"/>
    </row>
    <row r="2676" spans="1:1" x14ac:dyDescent="0.25">
      <c r="A2676" s="7"/>
    </row>
    <row r="2677" spans="1:1" x14ac:dyDescent="0.25">
      <c r="A2677" s="7"/>
    </row>
    <row r="2678" spans="1:1" x14ac:dyDescent="0.25">
      <c r="A2678" s="7"/>
    </row>
    <row r="2679" spans="1:1" x14ac:dyDescent="0.25">
      <c r="A2679" s="7"/>
    </row>
    <row r="2680" spans="1:1" x14ac:dyDescent="0.25">
      <c r="A2680" s="7"/>
    </row>
    <row r="2681" spans="1:1" x14ac:dyDescent="0.25">
      <c r="A2681" s="7"/>
    </row>
    <row r="2682" spans="1:1" x14ac:dyDescent="0.25">
      <c r="A2682" s="7"/>
    </row>
    <row r="2683" spans="1:1" x14ac:dyDescent="0.25">
      <c r="A2683" s="7"/>
    </row>
    <row r="2684" spans="1:1" x14ac:dyDescent="0.25">
      <c r="A2684" s="7"/>
    </row>
    <row r="2685" spans="1:1" x14ac:dyDescent="0.25">
      <c r="A2685" s="7"/>
    </row>
    <row r="2686" spans="1:1" x14ac:dyDescent="0.25">
      <c r="A2686" s="7"/>
    </row>
    <row r="2687" spans="1:1" x14ac:dyDescent="0.25">
      <c r="A2687" s="7"/>
    </row>
    <row r="2688" spans="1:1" x14ac:dyDescent="0.25">
      <c r="A2688" s="7"/>
    </row>
    <row r="2689" spans="1:1" x14ac:dyDescent="0.25">
      <c r="A2689" s="7"/>
    </row>
    <row r="2690" spans="1:1" x14ac:dyDescent="0.25">
      <c r="A2690" s="7"/>
    </row>
    <row r="2691" spans="1:1" x14ac:dyDescent="0.25">
      <c r="A2691" s="7"/>
    </row>
    <row r="2692" spans="1:1" x14ac:dyDescent="0.25">
      <c r="A2692" s="7"/>
    </row>
    <row r="2693" spans="1:1" x14ac:dyDescent="0.25">
      <c r="A2693" s="7"/>
    </row>
    <row r="2694" spans="1:1" x14ac:dyDescent="0.25">
      <c r="A2694" s="7"/>
    </row>
    <row r="2695" spans="1:1" x14ac:dyDescent="0.25">
      <c r="A2695" s="7"/>
    </row>
    <row r="2696" spans="1:1" x14ac:dyDescent="0.25">
      <c r="A2696" s="7"/>
    </row>
    <row r="2697" spans="1:1" x14ac:dyDescent="0.25">
      <c r="A2697" s="7"/>
    </row>
    <row r="2698" spans="1:1" x14ac:dyDescent="0.25">
      <c r="A2698" s="7"/>
    </row>
    <row r="2699" spans="1:1" x14ac:dyDescent="0.25">
      <c r="A2699" s="7"/>
    </row>
    <row r="2700" spans="1:1" x14ac:dyDescent="0.25">
      <c r="A2700" s="7"/>
    </row>
    <row r="2701" spans="1:1" x14ac:dyDescent="0.25">
      <c r="A2701" s="7"/>
    </row>
    <row r="2702" spans="1:1" x14ac:dyDescent="0.25">
      <c r="A2702" s="7"/>
    </row>
    <row r="2703" spans="1:1" x14ac:dyDescent="0.25">
      <c r="A2703" s="7"/>
    </row>
    <row r="2704" spans="1:1" x14ac:dyDescent="0.25">
      <c r="A2704" s="7"/>
    </row>
    <row r="2705" spans="1:1" x14ac:dyDescent="0.25">
      <c r="A2705" s="7"/>
    </row>
    <row r="2706" spans="1:1" x14ac:dyDescent="0.25">
      <c r="A2706" s="7"/>
    </row>
    <row r="2707" spans="1:1" x14ac:dyDescent="0.25">
      <c r="A2707" s="7"/>
    </row>
    <row r="2708" spans="1:1" x14ac:dyDescent="0.25">
      <c r="A2708" s="7"/>
    </row>
    <row r="2709" spans="1:1" x14ac:dyDescent="0.25">
      <c r="A2709" s="7"/>
    </row>
    <row r="2710" spans="1:1" x14ac:dyDescent="0.25">
      <c r="A2710" s="7"/>
    </row>
    <row r="2711" spans="1:1" x14ac:dyDescent="0.25">
      <c r="A2711" s="7"/>
    </row>
    <row r="2712" spans="1:1" x14ac:dyDescent="0.25">
      <c r="A2712" s="7"/>
    </row>
    <row r="2713" spans="1:1" x14ac:dyDescent="0.25">
      <c r="A2713" s="7"/>
    </row>
    <row r="2714" spans="1:1" x14ac:dyDescent="0.25">
      <c r="A2714" s="7"/>
    </row>
    <row r="2715" spans="1:1" x14ac:dyDescent="0.25">
      <c r="A2715" s="7"/>
    </row>
    <row r="2716" spans="1:1" x14ac:dyDescent="0.25">
      <c r="A2716" s="7"/>
    </row>
    <row r="2717" spans="1:1" x14ac:dyDescent="0.25">
      <c r="A2717" s="7"/>
    </row>
    <row r="2718" spans="1:1" x14ac:dyDescent="0.25">
      <c r="A2718" s="7"/>
    </row>
    <row r="2719" spans="1:1" x14ac:dyDescent="0.25">
      <c r="A2719" s="7"/>
    </row>
    <row r="2720" spans="1:1" x14ac:dyDescent="0.25">
      <c r="A2720" s="7"/>
    </row>
    <row r="2721" spans="1:1" x14ac:dyDescent="0.25">
      <c r="A2721" s="7"/>
    </row>
    <row r="2722" spans="1:1" x14ac:dyDescent="0.25">
      <c r="A2722" s="7"/>
    </row>
    <row r="2723" spans="1:1" x14ac:dyDescent="0.25">
      <c r="A2723" s="7"/>
    </row>
    <row r="2724" spans="1:1" x14ac:dyDescent="0.25">
      <c r="A2724" s="7"/>
    </row>
    <row r="2725" spans="1:1" x14ac:dyDescent="0.25">
      <c r="A2725" s="7"/>
    </row>
    <row r="2726" spans="1:1" x14ac:dyDescent="0.25">
      <c r="A2726" s="7"/>
    </row>
    <row r="2727" spans="1:1" x14ac:dyDescent="0.25">
      <c r="A2727" s="7"/>
    </row>
    <row r="2728" spans="1:1" x14ac:dyDescent="0.25">
      <c r="A2728" s="7"/>
    </row>
    <row r="2729" spans="1:1" x14ac:dyDescent="0.25">
      <c r="A2729" s="7"/>
    </row>
    <row r="2730" spans="1:1" x14ac:dyDescent="0.25">
      <c r="A2730" s="7"/>
    </row>
    <row r="2731" spans="1:1" x14ac:dyDescent="0.25">
      <c r="A2731" s="7"/>
    </row>
    <row r="2732" spans="1:1" x14ac:dyDescent="0.25">
      <c r="A2732" s="7"/>
    </row>
    <row r="2733" spans="1:1" x14ac:dyDescent="0.25">
      <c r="A2733" s="7"/>
    </row>
    <row r="2734" spans="1:1" x14ac:dyDescent="0.25">
      <c r="A2734" s="7"/>
    </row>
    <row r="2735" spans="1:1" x14ac:dyDescent="0.25">
      <c r="A2735" s="7"/>
    </row>
    <row r="2736" spans="1:1" x14ac:dyDescent="0.25">
      <c r="A2736" s="7"/>
    </row>
    <row r="2737" spans="1:1" x14ac:dyDescent="0.25">
      <c r="A2737" s="7"/>
    </row>
    <row r="2738" spans="1:1" x14ac:dyDescent="0.25">
      <c r="A2738" s="7"/>
    </row>
    <row r="2739" spans="1:1" x14ac:dyDescent="0.25">
      <c r="A2739" s="7"/>
    </row>
    <row r="2740" spans="1:1" x14ac:dyDescent="0.25">
      <c r="A2740" s="7"/>
    </row>
    <row r="2741" spans="1:1" x14ac:dyDescent="0.25">
      <c r="A2741" s="7"/>
    </row>
    <row r="2742" spans="1:1" x14ac:dyDescent="0.25">
      <c r="A2742" s="7"/>
    </row>
    <row r="2743" spans="1:1" x14ac:dyDescent="0.25">
      <c r="A2743" s="7"/>
    </row>
    <row r="2744" spans="1:1" x14ac:dyDescent="0.25">
      <c r="A2744" s="7"/>
    </row>
    <row r="2745" spans="1:1" x14ac:dyDescent="0.25">
      <c r="A2745" s="7"/>
    </row>
    <row r="2746" spans="1:1" x14ac:dyDescent="0.25">
      <c r="A2746" s="7"/>
    </row>
    <row r="2747" spans="1:1" x14ac:dyDescent="0.25">
      <c r="A2747" s="7"/>
    </row>
    <row r="2748" spans="1:1" x14ac:dyDescent="0.25">
      <c r="A2748" s="7"/>
    </row>
    <row r="2749" spans="1:1" x14ac:dyDescent="0.25">
      <c r="A2749" s="7"/>
    </row>
    <row r="2750" spans="1:1" x14ac:dyDescent="0.25">
      <c r="A2750" s="7"/>
    </row>
    <row r="2751" spans="1:1" x14ac:dyDescent="0.25">
      <c r="A2751" s="7"/>
    </row>
    <row r="2752" spans="1:1" x14ac:dyDescent="0.25">
      <c r="A2752" s="7"/>
    </row>
    <row r="2753" spans="1:1" x14ac:dyDescent="0.25">
      <c r="A2753" s="7"/>
    </row>
    <row r="2754" spans="1:1" x14ac:dyDescent="0.25">
      <c r="A2754" s="7"/>
    </row>
    <row r="2755" spans="1:1" x14ac:dyDescent="0.25">
      <c r="A2755" s="7"/>
    </row>
    <row r="2756" spans="1:1" x14ac:dyDescent="0.25">
      <c r="A2756" s="7"/>
    </row>
    <row r="2757" spans="1:1" x14ac:dyDescent="0.25">
      <c r="A2757" s="7"/>
    </row>
    <row r="2758" spans="1:1" x14ac:dyDescent="0.25">
      <c r="A2758" s="7"/>
    </row>
    <row r="2759" spans="1:1" x14ac:dyDescent="0.25">
      <c r="A2759" s="7"/>
    </row>
    <row r="2760" spans="1:1" x14ac:dyDescent="0.25">
      <c r="A2760" s="7"/>
    </row>
    <row r="2761" spans="1:1" x14ac:dyDescent="0.25">
      <c r="A2761" s="7"/>
    </row>
    <row r="2762" spans="1:1" x14ac:dyDescent="0.25">
      <c r="A2762" s="7"/>
    </row>
    <row r="2763" spans="1:1" x14ac:dyDescent="0.25">
      <c r="A2763" s="7"/>
    </row>
    <row r="2764" spans="1:1" x14ac:dyDescent="0.25">
      <c r="A2764" s="7"/>
    </row>
    <row r="2765" spans="1:1" x14ac:dyDescent="0.25">
      <c r="A2765" s="7"/>
    </row>
    <row r="2766" spans="1:1" x14ac:dyDescent="0.25">
      <c r="A2766" s="7"/>
    </row>
    <row r="2767" spans="1:1" x14ac:dyDescent="0.25">
      <c r="A2767" s="7"/>
    </row>
    <row r="2768" spans="1:1" x14ac:dyDescent="0.25">
      <c r="A2768" s="7"/>
    </row>
    <row r="2769" spans="1:1" x14ac:dyDescent="0.25">
      <c r="A2769" s="7"/>
    </row>
    <row r="2770" spans="1:1" x14ac:dyDescent="0.25">
      <c r="A2770" s="7"/>
    </row>
    <row r="2771" spans="1:1" x14ac:dyDescent="0.25">
      <c r="A2771" s="7"/>
    </row>
    <row r="2772" spans="1:1" x14ac:dyDescent="0.25">
      <c r="A2772" s="7"/>
    </row>
    <row r="2773" spans="1:1" x14ac:dyDescent="0.25">
      <c r="A2773" s="7"/>
    </row>
    <row r="2774" spans="1:1" x14ac:dyDescent="0.25">
      <c r="A2774" s="7"/>
    </row>
    <row r="2775" spans="1:1" x14ac:dyDescent="0.25">
      <c r="A2775" s="7"/>
    </row>
    <row r="2776" spans="1:1" x14ac:dyDescent="0.25">
      <c r="A2776" s="7"/>
    </row>
    <row r="2777" spans="1:1" x14ac:dyDescent="0.25">
      <c r="A2777" s="7"/>
    </row>
    <row r="2778" spans="1:1" x14ac:dyDescent="0.25">
      <c r="A2778" s="7"/>
    </row>
    <row r="2779" spans="1:1" x14ac:dyDescent="0.25">
      <c r="A2779" s="7"/>
    </row>
    <row r="2780" spans="1:1" x14ac:dyDescent="0.25">
      <c r="A2780" s="7"/>
    </row>
    <row r="2781" spans="1:1" x14ac:dyDescent="0.25">
      <c r="A2781" s="7"/>
    </row>
    <row r="2782" spans="1:1" x14ac:dyDescent="0.25">
      <c r="A2782" s="7"/>
    </row>
    <row r="2783" spans="1:1" x14ac:dyDescent="0.25">
      <c r="A2783" s="7"/>
    </row>
    <row r="2784" spans="1:1" x14ac:dyDescent="0.25">
      <c r="A2784" s="7"/>
    </row>
    <row r="2785" spans="1:1" x14ac:dyDescent="0.25">
      <c r="A2785" s="7"/>
    </row>
    <row r="2786" spans="1:1" x14ac:dyDescent="0.25">
      <c r="A2786" s="7"/>
    </row>
    <row r="2787" spans="1:1" x14ac:dyDescent="0.25">
      <c r="A2787" s="7"/>
    </row>
    <row r="2788" spans="1:1" x14ac:dyDescent="0.25">
      <c r="A2788" s="7"/>
    </row>
    <row r="2789" spans="1:1" x14ac:dyDescent="0.25">
      <c r="A2789" s="7"/>
    </row>
    <row r="2790" spans="1:1" x14ac:dyDescent="0.25">
      <c r="A2790" s="7"/>
    </row>
    <row r="2791" spans="1:1" x14ac:dyDescent="0.25">
      <c r="A2791" s="7"/>
    </row>
    <row r="2792" spans="1:1" x14ac:dyDescent="0.25">
      <c r="A2792" s="7"/>
    </row>
    <row r="2793" spans="1:1" x14ac:dyDescent="0.25">
      <c r="A2793" s="7"/>
    </row>
    <row r="2794" spans="1:1" x14ac:dyDescent="0.25">
      <c r="A2794" s="7"/>
    </row>
    <row r="2795" spans="1:1" x14ac:dyDescent="0.25">
      <c r="A2795" s="7"/>
    </row>
    <row r="2796" spans="1:1" x14ac:dyDescent="0.25">
      <c r="A2796" s="7"/>
    </row>
    <row r="2797" spans="1:1" x14ac:dyDescent="0.25">
      <c r="A2797" s="7"/>
    </row>
    <row r="2798" spans="1:1" x14ac:dyDescent="0.25">
      <c r="A2798" s="7"/>
    </row>
    <row r="2799" spans="1:1" x14ac:dyDescent="0.25">
      <c r="A2799" s="7"/>
    </row>
    <row r="2800" spans="1:1" x14ac:dyDescent="0.25">
      <c r="A2800" s="7"/>
    </row>
    <row r="2801" spans="1:1" x14ac:dyDescent="0.25">
      <c r="A2801" s="7"/>
    </row>
    <row r="2802" spans="1:1" x14ac:dyDescent="0.25">
      <c r="A2802" s="7"/>
    </row>
    <row r="2803" spans="1:1" x14ac:dyDescent="0.25">
      <c r="A2803" s="7"/>
    </row>
    <row r="2804" spans="1:1" x14ac:dyDescent="0.25">
      <c r="A2804" s="7"/>
    </row>
    <row r="2805" spans="1:1" x14ac:dyDescent="0.25">
      <c r="A2805" s="7"/>
    </row>
    <row r="2806" spans="1:1" x14ac:dyDescent="0.25">
      <c r="A2806" s="7"/>
    </row>
    <row r="2807" spans="1:1" x14ac:dyDescent="0.25">
      <c r="A2807" s="7"/>
    </row>
    <row r="2808" spans="1:1" x14ac:dyDescent="0.25">
      <c r="A2808" s="7"/>
    </row>
    <row r="2809" spans="1:1" x14ac:dyDescent="0.25">
      <c r="A2809" s="7"/>
    </row>
    <row r="2810" spans="1:1" x14ac:dyDescent="0.25">
      <c r="A2810" s="7"/>
    </row>
    <row r="2811" spans="1:1" x14ac:dyDescent="0.25">
      <c r="A2811" s="7"/>
    </row>
    <row r="2812" spans="1:1" x14ac:dyDescent="0.25">
      <c r="A2812" s="7"/>
    </row>
    <row r="2813" spans="1:1" x14ac:dyDescent="0.25">
      <c r="A2813" s="7"/>
    </row>
    <row r="2814" spans="1:1" x14ac:dyDescent="0.25">
      <c r="A2814" s="7"/>
    </row>
    <row r="2815" spans="1:1" x14ac:dyDescent="0.25">
      <c r="A2815" s="7"/>
    </row>
    <row r="2816" spans="1:1" x14ac:dyDescent="0.25">
      <c r="A2816" s="7"/>
    </row>
    <row r="2817" spans="1:1" x14ac:dyDescent="0.25">
      <c r="A2817" s="7"/>
    </row>
    <row r="2818" spans="1:1" x14ac:dyDescent="0.25">
      <c r="A2818" s="7"/>
    </row>
    <row r="2819" spans="1:1" x14ac:dyDescent="0.25">
      <c r="A2819" s="7"/>
    </row>
    <row r="2820" spans="1:1" x14ac:dyDescent="0.25">
      <c r="A2820" s="7"/>
    </row>
    <row r="2821" spans="1:1" x14ac:dyDescent="0.25">
      <c r="A2821" s="7"/>
    </row>
    <row r="2822" spans="1:1" x14ac:dyDescent="0.25">
      <c r="A2822" s="7"/>
    </row>
    <row r="2823" spans="1:1" x14ac:dyDescent="0.25">
      <c r="A2823" s="7"/>
    </row>
    <row r="2824" spans="1:1" x14ac:dyDescent="0.25">
      <c r="A2824" s="7"/>
    </row>
    <row r="2825" spans="1:1" x14ac:dyDescent="0.25">
      <c r="A2825" s="7"/>
    </row>
    <row r="2826" spans="1:1" x14ac:dyDescent="0.25">
      <c r="A2826" s="7"/>
    </row>
    <row r="2827" spans="1:1" x14ac:dyDescent="0.25">
      <c r="A2827" s="7"/>
    </row>
    <row r="2828" spans="1:1" x14ac:dyDescent="0.25">
      <c r="A2828" s="7"/>
    </row>
    <row r="2829" spans="1:1" x14ac:dyDescent="0.25">
      <c r="A2829" s="7"/>
    </row>
    <row r="2830" spans="1:1" x14ac:dyDescent="0.25">
      <c r="A2830" s="7"/>
    </row>
    <row r="2831" spans="1:1" x14ac:dyDescent="0.25">
      <c r="A2831" s="7"/>
    </row>
    <row r="2832" spans="1:1" x14ac:dyDescent="0.25">
      <c r="A2832" s="7"/>
    </row>
    <row r="2833" spans="1:1" x14ac:dyDescent="0.25">
      <c r="A2833" s="7"/>
    </row>
    <row r="2834" spans="1:1" x14ac:dyDescent="0.25">
      <c r="A2834" s="7"/>
    </row>
    <row r="2835" spans="1:1" x14ac:dyDescent="0.25">
      <c r="A2835" s="7"/>
    </row>
    <row r="2836" spans="1:1" x14ac:dyDescent="0.25">
      <c r="A2836" s="7"/>
    </row>
    <row r="2837" spans="1:1" x14ac:dyDescent="0.25">
      <c r="A2837" s="7"/>
    </row>
    <row r="2838" spans="1:1" x14ac:dyDescent="0.25">
      <c r="A2838" s="7"/>
    </row>
    <row r="2839" spans="1:1" x14ac:dyDescent="0.25">
      <c r="A2839" s="7"/>
    </row>
    <row r="2840" spans="1:1" x14ac:dyDescent="0.25">
      <c r="A2840" s="7"/>
    </row>
    <row r="2841" spans="1:1" x14ac:dyDescent="0.25">
      <c r="A2841" s="7"/>
    </row>
    <row r="2842" spans="1:1" x14ac:dyDescent="0.25">
      <c r="A2842" s="7"/>
    </row>
    <row r="2843" spans="1:1" x14ac:dyDescent="0.25">
      <c r="A2843" s="7"/>
    </row>
    <row r="2844" spans="1:1" x14ac:dyDescent="0.25">
      <c r="A2844" s="7"/>
    </row>
    <row r="2845" spans="1:1" x14ac:dyDescent="0.25">
      <c r="A2845" s="7"/>
    </row>
    <row r="2846" spans="1:1" x14ac:dyDescent="0.25">
      <c r="A2846" s="7"/>
    </row>
    <row r="2847" spans="1:1" x14ac:dyDescent="0.25">
      <c r="A2847" s="7"/>
    </row>
    <row r="2848" spans="1:1" x14ac:dyDescent="0.25">
      <c r="A2848" s="7"/>
    </row>
    <row r="2849" spans="1:1" x14ac:dyDescent="0.25">
      <c r="A2849" s="7"/>
    </row>
    <row r="2850" spans="1:1" x14ac:dyDescent="0.25">
      <c r="A2850" s="7"/>
    </row>
    <row r="2851" spans="1:1" x14ac:dyDescent="0.25">
      <c r="A2851" s="7"/>
    </row>
    <row r="2852" spans="1:1" x14ac:dyDescent="0.25">
      <c r="A2852" s="7"/>
    </row>
    <row r="2853" spans="1:1" x14ac:dyDescent="0.25">
      <c r="A2853" s="7"/>
    </row>
    <row r="2854" spans="1:1" x14ac:dyDescent="0.25">
      <c r="A2854" s="7"/>
    </row>
    <row r="2855" spans="1:1" x14ac:dyDescent="0.25">
      <c r="A2855" s="7"/>
    </row>
    <row r="2856" spans="1:1" x14ac:dyDescent="0.25">
      <c r="A2856" s="7"/>
    </row>
    <row r="2857" spans="1:1" x14ac:dyDescent="0.25">
      <c r="A2857" s="7"/>
    </row>
    <row r="2858" spans="1:1" x14ac:dyDescent="0.25">
      <c r="A2858" s="7"/>
    </row>
    <row r="2859" spans="1:1" x14ac:dyDescent="0.25">
      <c r="A2859" s="7"/>
    </row>
    <row r="2860" spans="1:1" x14ac:dyDescent="0.25">
      <c r="A2860" s="7"/>
    </row>
    <row r="2861" spans="1:1" x14ac:dyDescent="0.25">
      <c r="A2861" s="7"/>
    </row>
    <row r="2862" spans="1:1" x14ac:dyDescent="0.25">
      <c r="A2862" s="7"/>
    </row>
    <row r="2863" spans="1:1" x14ac:dyDescent="0.25">
      <c r="A2863" s="7"/>
    </row>
    <row r="2864" spans="1:1" x14ac:dyDescent="0.25">
      <c r="A2864" s="7"/>
    </row>
    <row r="2865" spans="1:1" x14ac:dyDescent="0.25">
      <c r="A2865" s="7"/>
    </row>
    <row r="2866" spans="1:1" x14ac:dyDescent="0.25">
      <c r="A2866" s="7"/>
    </row>
    <row r="2867" spans="1:1" x14ac:dyDescent="0.25">
      <c r="A2867" s="7"/>
    </row>
    <row r="2868" spans="1:1" x14ac:dyDescent="0.25">
      <c r="A2868" s="7"/>
    </row>
    <row r="2869" spans="1:1" x14ac:dyDescent="0.25">
      <c r="A2869" s="7"/>
    </row>
    <row r="2870" spans="1:1" x14ac:dyDescent="0.25">
      <c r="A2870" s="7"/>
    </row>
    <row r="2871" spans="1:1" x14ac:dyDescent="0.25">
      <c r="A2871" s="7"/>
    </row>
    <row r="2872" spans="1:1" x14ac:dyDescent="0.25">
      <c r="A2872" s="7"/>
    </row>
    <row r="2873" spans="1:1" x14ac:dyDescent="0.25">
      <c r="A2873" s="7"/>
    </row>
    <row r="2874" spans="1:1" x14ac:dyDescent="0.25">
      <c r="A2874" s="7"/>
    </row>
    <row r="2875" spans="1:1" x14ac:dyDescent="0.25">
      <c r="A2875" s="7"/>
    </row>
    <row r="2876" spans="1:1" x14ac:dyDescent="0.25">
      <c r="A2876" s="7"/>
    </row>
    <row r="2877" spans="1:1" x14ac:dyDescent="0.25">
      <c r="A2877" s="7"/>
    </row>
    <row r="2878" spans="1:1" x14ac:dyDescent="0.25">
      <c r="A2878" s="7"/>
    </row>
    <row r="2879" spans="1:1" x14ac:dyDescent="0.25">
      <c r="A2879" s="7"/>
    </row>
    <row r="2880" spans="1:1" x14ac:dyDescent="0.25">
      <c r="A2880" s="7"/>
    </row>
    <row r="2881" spans="1:1" x14ac:dyDescent="0.25">
      <c r="A2881" s="7"/>
    </row>
    <row r="2882" spans="1:1" x14ac:dyDescent="0.25">
      <c r="A2882" s="7"/>
    </row>
    <row r="2883" spans="1:1" x14ac:dyDescent="0.25">
      <c r="A2883" s="7"/>
    </row>
    <row r="2884" spans="1:1" x14ac:dyDescent="0.25">
      <c r="A2884" s="7"/>
    </row>
    <row r="2885" spans="1:1" x14ac:dyDescent="0.25">
      <c r="A2885" s="7"/>
    </row>
    <row r="2886" spans="1:1" x14ac:dyDescent="0.25">
      <c r="A2886" s="7"/>
    </row>
    <row r="2887" spans="1:1" x14ac:dyDescent="0.25">
      <c r="A2887" s="7"/>
    </row>
    <row r="2888" spans="1:1" x14ac:dyDescent="0.25">
      <c r="A2888" s="7"/>
    </row>
    <row r="2889" spans="1:1" x14ac:dyDescent="0.25">
      <c r="A2889" s="7"/>
    </row>
    <row r="2890" spans="1:1" x14ac:dyDescent="0.25">
      <c r="A2890" s="7"/>
    </row>
    <row r="2891" spans="1:1" x14ac:dyDescent="0.25">
      <c r="A2891" s="7"/>
    </row>
    <row r="2892" spans="1:1" x14ac:dyDescent="0.25">
      <c r="A2892" s="7"/>
    </row>
    <row r="2893" spans="1:1" x14ac:dyDescent="0.25">
      <c r="A2893" s="7"/>
    </row>
    <row r="2894" spans="1:1" x14ac:dyDescent="0.25">
      <c r="A2894" s="7"/>
    </row>
    <row r="2895" spans="1:1" x14ac:dyDescent="0.25">
      <c r="A2895" s="7"/>
    </row>
    <row r="2896" spans="1:1" x14ac:dyDescent="0.25">
      <c r="A2896" s="7"/>
    </row>
    <row r="2897" spans="1:1" x14ac:dyDescent="0.25">
      <c r="A2897" s="7"/>
    </row>
    <row r="2898" spans="1:1" x14ac:dyDescent="0.25">
      <c r="A2898" s="7"/>
    </row>
    <row r="2899" spans="1:1" x14ac:dyDescent="0.25">
      <c r="A2899" s="7"/>
    </row>
    <row r="2900" spans="1:1" x14ac:dyDescent="0.25">
      <c r="A2900" s="7"/>
    </row>
    <row r="2901" spans="1:1" x14ac:dyDescent="0.25">
      <c r="A2901" s="7"/>
    </row>
    <row r="2902" spans="1:1" x14ac:dyDescent="0.25">
      <c r="A2902" s="7"/>
    </row>
    <row r="2903" spans="1:1" x14ac:dyDescent="0.25">
      <c r="A2903" s="7"/>
    </row>
    <row r="2904" spans="1:1" x14ac:dyDescent="0.25">
      <c r="A2904" s="7"/>
    </row>
    <row r="2905" spans="1:1" x14ac:dyDescent="0.25">
      <c r="A2905" s="7"/>
    </row>
    <row r="2906" spans="1:1" x14ac:dyDescent="0.25">
      <c r="A2906" s="7"/>
    </row>
    <row r="2907" spans="1:1" x14ac:dyDescent="0.25">
      <c r="A2907" s="7"/>
    </row>
    <row r="2908" spans="1:1" x14ac:dyDescent="0.25">
      <c r="A2908" s="7"/>
    </row>
    <row r="2909" spans="1:1" x14ac:dyDescent="0.25">
      <c r="A2909" s="7"/>
    </row>
    <row r="2910" spans="1:1" x14ac:dyDescent="0.25">
      <c r="A2910" s="7"/>
    </row>
    <row r="2911" spans="1:1" x14ac:dyDescent="0.25">
      <c r="A2911" s="7"/>
    </row>
    <row r="2912" spans="1:1" x14ac:dyDescent="0.25">
      <c r="A2912" s="7"/>
    </row>
    <row r="2913" spans="1:1" x14ac:dyDescent="0.25">
      <c r="A2913" s="7"/>
    </row>
    <row r="2914" spans="1:1" x14ac:dyDescent="0.25">
      <c r="A2914" s="7"/>
    </row>
    <row r="2915" spans="1:1" x14ac:dyDescent="0.25">
      <c r="A2915" s="7"/>
    </row>
    <row r="2916" spans="1:1" x14ac:dyDescent="0.25">
      <c r="A2916" s="7"/>
    </row>
    <row r="2917" spans="1:1" x14ac:dyDescent="0.25">
      <c r="A2917" s="7"/>
    </row>
    <row r="2918" spans="1:1" x14ac:dyDescent="0.25">
      <c r="A2918" s="7"/>
    </row>
    <row r="2919" spans="1:1" x14ac:dyDescent="0.25">
      <c r="A2919" s="7"/>
    </row>
    <row r="2920" spans="1:1" x14ac:dyDescent="0.25">
      <c r="A2920" s="7"/>
    </row>
    <row r="2921" spans="1:1" x14ac:dyDescent="0.25">
      <c r="A2921" s="7"/>
    </row>
    <row r="2922" spans="1:1" x14ac:dyDescent="0.25">
      <c r="A2922" s="7"/>
    </row>
    <row r="2923" spans="1:1" x14ac:dyDescent="0.25">
      <c r="A2923" s="7"/>
    </row>
    <row r="2924" spans="1:1" x14ac:dyDescent="0.25">
      <c r="A2924" s="7"/>
    </row>
    <row r="2925" spans="1:1" x14ac:dyDescent="0.25">
      <c r="A2925" s="7"/>
    </row>
    <row r="2926" spans="1:1" x14ac:dyDescent="0.25">
      <c r="A2926" s="7"/>
    </row>
    <row r="2927" spans="1:1" x14ac:dyDescent="0.25">
      <c r="A2927" s="7"/>
    </row>
    <row r="2928" spans="1:1" x14ac:dyDescent="0.25">
      <c r="A2928" s="7"/>
    </row>
    <row r="2929" spans="1:1" x14ac:dyDescent="0.25">
      <c r="A2929" s="7"/>
    </row>
    <row r="2930" spans="1:1" x14ac:dyDescent="0.25">
      <c r="A2930" s="7"/>
    </row>
    <row r="2931" spans="1:1" x14ac:dyDescent="0.25">
      <c r="A2931" s="7"/>
    </row>
    <row r="2932" spans="1:1" x14ac:dyDescent="0.25">
      <c r="A2932" s="7"/>
    </row>
    <row r="2933" spans="1:1" x14ac:dyDescent="0.25">
      <c r="A2933" s="7"/>
    </row>
    <row r="2934" spans="1:1" x14ac:dyDescent="0.25">
      <c r="A2934" s="7"/>
    </row>
    <row r="2935" spans="1:1" x14ac:dyDescent="0.25">
      <c r="A2935" s="7"/>
    </row>
    <row r="2936" spans="1:1" x14ac:dyDescent="0.25">
      <c r="A2936" s="7"/>
    </row>
    <row r="2937" spans="1:1" x14ac:dyDescent="0.25">
      <c r="A2937" s="7"/>
    </row>
    <row r="2938" spans="1:1" x14ac:dyDescent="0.25">
      <c r="A2938" s="7"/>
    </row>
    <row r="2939" spans="1:1" x14ac:dyDescent="0.25">
      <c r="A2939" s="7"/>
    </row>
    <row r="2940" spans="1:1" x14ac:dyDescent="0.25">
      <c r="A2940" s="7"/>
    </row>
    <row r="2941" spans="1:1" x14ac:dyDescent="0.25">
      <c r="A2941" s="7"/>
    </row>
    <row r="2942" spans="1:1" x14ac:dyDescent="0.25">
      <c r="A2942" s="7"/>
    </row>
    <row r="2943" spans="1:1" x14ac:dyDescent="0.25">
      <c r="A2943" s="7"/>
    </row>
    <row r="2944" spans="1:1" x14ac:dyDescent="0.25">
      <c r="A2944" s="7"/>
    </row>
    <row r="2945" spans="1:1" x14ac:dyDescent="0.25">
      <c r="A2945" s="7"/>
    </row>
    <row r="2946" spans="1:1" x14ac:dyDescent="0.25">
      <c r="A2946" s="7"/>
    </row>
    <row r="2947" spans="1:1" x14ac:dyDescent="0.25">
      <c r="A2947" s="7"/>
    </row>
    <row r="2948" spans="1:1" x14ac:dyDescent="0.25">
      <c r="A2948" s="7"/>
    </row>
    <row r="2949" spans="1:1" x14ac:dyDescent="0.25">
      <c r="A2949" s="7"/>
    </row>
    <row r="2950" spans="1:1" x14ac:dyDescent="0.25">
      <c r="A2950" s="7"/>
    </row>
    <row r="2951" spans="1:1" x14ac:dyDescent="0.25">
      <c r="A2951" s="7"/>
    </row>
    <row r="2952" spans="1:1" x14ac:dyDescent="0.25">
      <c r="A2952" s="7"/>
    </row>
    <row r="2953" spans="1:1" x14ac:dyDescent="0.25">
      <c r="A2953" s="7"/>
    </row>
    <row r="2954" spans="1:1" x14ac:dyDescent="0.25">
      <c r="A2954" s="7"/>
    </row>
    <row r="2955" spans="1:1" x14ac:dyDescent="0.25">
      <c r="A2955" s="7"/>
    </row>
    <row r="2956" spans="1:1" x14ac:dyDescent="0.25">
      <c r="A2956" s="7"/>
    </row>
    <row r="2957" spans="1:1" x14ac:dyDescent="0.25">
      <c r="A2957" s="7"/>
    </row>
    <row r="2958" spans="1:1" x14ac:dyDescent="0.25">
      <c r="A2958" s="7"/>
    </row>
    <row r="2959" spans="1:1" x14ac:dyDescent="0.25">
      <c r="A2959" s="7"/>
    </row>
    <row r="2960" spans="1:1" x14ac:dyDescent="0.25">
      <c r="A2960" s="7"/>
    </row>
    <row r="2961" spans="1:1" x14ac:dyDescent="0.25">
      <c r="A2961" s="7"/>
    </row>
    <row r="2962" spans="1:1" x14ac:dyDescent="0.25">
      <c r="A2962" s="7"/>
    </row>
    <row r="2963" spans="1:1" x14ac:dyDescent="0.25">
      <c r="A2963" s="7"/>
    </row>
    <row r="2964" spans="1:1" x14ac:dyDescent="0.25">
      <c r="A2964" s="7"/>
    </row>
    <row r="2965" spans="1:1" x14ac:dyDescent="0.25">
      <c r="A2965" s="7"/>
    </row>
    <row r="2966" spans="1:1" x14ac:dyDescent="0.25">
      <c r="A2966" s="7"/>
    </row>
    <row r="2967" spans="1:1" x14ac:dyDescent="0.25">
      <c r="A2967" s="7"/>
    </row>
    <row r="2968" spans="1:1" x14ac:dyDescent="0.25">
      <c r="A2968" s="7"/>
    </row>
    <row r="2969" spans="1:1" x14ac:dyDescent="0.25">
      <c r="A2969" s="7"/>
    </row>
    <row r="2970" spans="1:1" x14ac:dyDescent="0.25">
      <c r="A2970" s="7"/>
    </row>
    <row r="2971" spans="1:1" x14ac:dyDescent="0.25">
      <c r="A2971" s="7"/>
    </row>
    <row r="2972" spans="1:1" x14ac:dyDescent="0.25">
      <c r="A2972" s="7"/>
    </row>
    <row r="2973" spans="1:1" x14ac:dyDescent="0.25">
      <c r="A2973" s="7"/>
    </row>
    <row r="2974" spans="1:1" x14ac:dyDescent="0.25">
      <c r="A2974" s="7"/>
    </row>
    <row r="2975" spans="1:1" x14ac:dyDescent="0.25">
      <c r="A2975" s="7"/>
    </row>
    <row r="2976" spans="1:1" x14ac:dyDescent="0.25">
      <c r="A2976" s="7"/>
    </row>
    <row r="2977" spans="1:1" x14ac:dyDescent="0.25">
      <c r="A2977" s="7"/>
    </row>
    <row r="2978" spans="1:1" x14ac:dyDescent="0.25">
      <c r="A2978" s="7"/>
    </row>
    <row r="2979" spans="1:1" x14ac:dyDescent="0.25">
      <c r="A2979" s="7"/>
    </row>
    <row r="2980" spans="1:1" x14ac:dyDescent="0.25">
      <c r="A2980" s="7"/>
    </row>
    <row r="2981" spans="1:1" x14ac:dyDescent="0.25">
      <c r="A2981" s="7"/>
    </row>
    <row r="2982" spans="1:1" x14ac:dyDescent="0.25">
      <c r="A2982" s="7"/>
    </row>
    <row r="2983" spans="1:1" x14ac:dyDescent="0.25">
      <c r="A2983" s="7"/>
    </row>
    <row r="2984" spans="1:1" x14ac:dyDescent="0.25">
      <c r="A2984" s="7"/>
    </row>
    <row r="2985" spans="1:1" x14ac:dyDescent="0.25">
      <c r="A2985" s="7"/>
    </row>
    <row r="2986" spans="1:1" x14ac:dyDescent="0.25">
      <c r="A2986" s="7"/>
    </row>
    <row r="2987" spans="1:1" x14ac:dyDescent="0.25">
      <c r="A2987" s="7"/>
    </row>
    <row r="2988" spans="1:1" x14ac:dyDescent="0.25">
      <c r="A2988" s="7"/>
    </row>
    <row r="2989" spans="1:1" x14ac:dyDescent="0.25">
      <c r="A2989" s="7"/>
    </row>
    <row r="2990" spans="1:1" x14ac:dyDescent="0.25">
      <c r="A2990" s="7"/>
    </row>
    <row r="2991" spans="1:1" x14ac:dyDescent="0.25">
      <c r="A2991" s="7"/>
    </row>
    <row r="2992" spans="1:1" x14ac:dyDescent="0.25">
      <c r="A2992" s="7"/>
    </row>
    <row r="2993" spans="1:1" x14ac:dyDescent="0.25">
      <c r="A2993" s="7"/>
    </row>
    <row r="2994" spans="1:1" x14ac:dyDescent="0.25">
      <c r="A2994" s="7"/>
    </row>
    <row r="2995" spans="1:1" x14ac:dyDescent="0.25">
      <c r="A2995" s="7"/>
    </row>
    <row r="2996" spans="1:1" x14ac:dyDescent="0.25">
      <c r="A2996" s="7"/>
    </row>
    <row r="2997" spans="1:1" x14ac:dyDescent="0.25">
      <c r="A2997" s="7"/>
    </row>
    <row r="2998" spans="1:1" x14ac:dyDescent="0.25">
      <c r="A2998" s="7"/>
    </row>
    <row r="2999" spans="1:1" x14ac:dyDescent="0.25">
      <c r="A2999" s="7"/>
    </row>
    <row r="3000" spans="1:1" x14ac:dyDescent="0.25">
      <c r="A3000" s="7"/>
    </row>
    <row r="3001" spans="1:1" x14ac:dyDescent="0.25">
      <c r="A3001" s="7"/>
    </row>
    <row r="3002" spans="1:1" x14ac:dyDescent="0.25">
      <c r="A3002" s="7"/>
    </row>
    <row r="3003" spans="1:1" x14ac:dyDescent="0.25">
      <c r="A3003" s="7"/>
    </row>
    <row r="3004" spans="1:1" x14ac:dyDescent="0.25">
      <c r="A3004" s="7"/>
    </row>
    <row r="3005" spans="1:1" x14ac:dyDescent="0.25">
      <c r="A3005" s="7"/>
    </row>
    <row r="3006" spans="1:1" x14ac:dyDescent="0.25">
      <c r="A3006" s="7"/>
    </row>
    <row r="3007" spans="1:1" x14ac:dyDescent="0.25">
      <c r="A3007" s="7"/>
    </row>
    <row r="3008" spans="1:1" x14ac:dyDescent="0.25">
      <c r="A3008" s="7"/>
    </row>
    <row r="3009" spans="1:1" x14ac:dyDescent="0.25">
      <c r="A3009" s="7"/>
    </row>
    <row r="3010" spans="1:1" x14ac:dyDescent="0.25">
      <c r="A3010" s="7"/>
    </row>
    <row r="3011" spans="1:1" x14ac:dyDescent="0.25">
      <c r="A3011" s="7"/>
    </row>
    <row r="3012" spans="1:1" x14ac:dyDescent="0.25">
      <c r="A3012" s="7"/>
    </row>
    <row r="3013" spans="1:1" x14ac:dyDescent="0.25">
      <c r="A3013" s="7"/>
    </row>
    <row r="3014" spans="1:1" x14ac:dyDescent="0.25">
      <c r="A3014" s="7"/>
    </row>
    <row r="3015" spans="1:1" x14ac:dyDescent="0.25">
      <c r="A3015" s="7"/>
    </row>
    <row r="3016" spans="1:1" x14ac:dyDescent="0.25">
      <c r="A3016" s="7"/>
    </row>
    <row r="3017" spans="1:1" x14ac:dyDescent="0.25">
      <c r="A3017" s="7"/>
    </row>
    <row r="3018" spans="1:1" x14ac:dyDescent="0.25">
      <c r="A3018" s="7"/>
    </row>
    <row r="3019" spans="1:1" x14ac:dyDescent="0.25">
      <c r="A3019" s="7"/>
    </row>
    <row r="3020" spans="1:1" x14ac:dyDescent="0.25">
      <c r="A3020" s="7"/>
    </row>
    <row r="3021" spans="1:1" x14ac:dyDescent="0.25">
      <c r="A3021" s="7"/>
    </row>
    <row r="3022" spans="1:1" x14ac:dyDescent="0.25">
      <c r="A3022" s="7"/>
    </row>
    <row r="3023" spans="1:1" x14ac:dyDescent="0.25">
      <c r="A3023" s="7"/>
    </row>
    <row r="3024" spans="1:1" x14ac:dyDescent="0.25">
      <c r="A3024" s="7"/>
    </row>
    <row r="3025" spans="1:1" x14ac:dyDescent="0.25">
      <c r="A3025" s="7"/>
    </row>
    <row r="3026" spans="1:1" x14ac:dyDescent="0.25">
      <c r="A3026" s="7"/>
    </row>
    <row r="3027" spans="1:1" x14ac:dyDescent="0.25">
      <c r="A3027" s="7"/>
    </row>
    <row r="3028" spans="1:1" x14ac:dyDescent="0.25">
      <c r="A3028" s="7"/>
    </row>
    <row r="3029" spans="1:1" x14ac:dyDescent="0.25">
      <c r="A3029" s="7"/>
    </row>
    <row r="3030" spans="1:1" x14ac:dyDescent="0.25">
      <c r="A3030" s="7"/>
    </row>
    <row r="3031" spans="1:1" x14ac:dyDescent="0.25">
      <c r="A3031" s="7"/>
    </row>
    <row r="3032" spans="1:1" x14ac:dyDescent="0.25">
      <c r="A3032" s="7"/>
    </row>
    <row r="3033" spans="1:1" x14ac:dyDescent="0.25">
      <c r="A3033" s="7"/>
    </row>
    <row r="3034" spans="1:1" x14ac:dyDescent="0.25">
      <c r="A3034" s="7"/>
    </row>
    <row r="3035" spans="1:1" x14ac:dyDescent="0.25">
      <c r="A3035" s="7"/>
    </row>
    <row r="3036" spans="1:1" x14ac:dyDescent="0.25">
      <c r="A3036" s="7"/>
    </row>
    <row r="3037" spans="1:1" x14ac:dyDescent="0.25">
      <c r="A3037" s="7"/>
    </row>
    <row r="3038" spans="1:1" x14ac:dyDescent="0.25">
      <c r="A3038" s="7"/>
    </row>
    <row r="3039" spans="1:1" x14ac:dyDescent="0.25">
      <c r="A3039" s="7"/>
    </row>
    <row r="3040" spans="1:1" x14ac:dyDescent="0.25">
      <c r="A3040" s="7"/>
    </row>
    <row r="3041" spans="1:1" x14ac:dyDescent="0.25">
      <c r="A3041" s="7"/>
    </row>
    <row r="3042" spans="1:1" x14ac:dyDescent="0.25">
      <c r="A3042" s="7"/>
    </row>
    <row r="3043" spans="1:1" x14ac:dyDescent="0.25">
      <c r="A3043" s="7"/>
    </row>
    <row r="3044" spans="1:1" x14ac:dyDescent="0.25">
      <c r="A3044" s="7"/>
    </row>
    <row r="3045" spans="1:1" x14ac:dyDescent="0.25">
      <c r="A3045" s="7"/>
    </row>
    <row r="3046" spans="1:1" x14ac:dyDescent="0.25">
      <c r="A3046" s="7"/>
    </row>
    <row r="3047" spans="1:1" x14ac:dyDescent="0.25">
      <c r="A3047" s="7"/>
    </row>
    <row r="3048" spans="1:1" x14ac:dyDescent="0.25">
      <c r="A3048" s="7"/>
    </row>
    <row r="3049" spans="1:1" x14ac:dyDescent="0.25">
      <c r="A3049" s="7"/>
    </row>
    <row r="3050" spans="1:1" x14ac:dyDescent="0.25">
      <c r="A3050" s="7"/>
    </row>
    <row r="3051" spans="1:1" x14ac:dyDescent="0.25">
      <c r="A3051" s="7"/>
    </row>
    <row r="3052" spans="1:1" x14ac:dyDescent="0.25">
      <c r="A3052" s="7"/>
    </row>
    <row r="3053" spans="1:1" x14ac:dyDescent="0.25">
      <c r="A3053" s="7"/>
    </row>
    <row r="3054" spans="1:1" x14ac:dyDescent="0.25">
      <c r="A3054" s="7"/>
    </row>
    <row r="3055" spans="1:1" x14ac:dyDescent="0.25">
      <c r="A3055" s="7"/>
    </row>
    <row r="3056" spans="1:1" x14ac:dyDescent="0.25">
      <c r="A3056" s="7"/>
    </row>
    <row r="3057" spans="1:1" x14ac:dyDescent="0.25">
      <c r="A3057" s="7"/>
    </row>
    <row r="3058" spans="1:1" x14ac:dyDescent="0.25">
      <c r="A3058" s="7"/>
    </row>
    <row r="3059" spans="1:1" x14ac:dyDescent="0.25">
      <c r="A3059" s="7"/>
    </row>
    <row r="3060" spans="1:1" x14ac:dyDescent="0.25">
      <c r="A3060" s="7"/>
    </row>
    <row r="3061" spans="1:1" x14ac:dyDescent="0.25">
      <c r="A3061" s="7"/>
    </row>
    <row r="3062" spans="1:1" x14ac:dyDescent="0.25">
      <c r="A3062" s="7"/>
    </row>
    <row r="3063" spans="1:1" x14ac:dyDescent="0.25">
      <c r="A3063" s="7"/>
    </row>
    <row r="3064" spans="1:1" x14ac:dyDescent="0.25">
      <c r="A3064" s="7"/>
    </row>
    <row r="3065" spans="1:1" x14ac:dyDescent="0.25">
      <c r="A3065" s="7"/>
    </row>
    <row r="3066" spans="1:1" x14ac:dyDescent="0.25">
      <c r="A3066" s="7"/>
    </row>
    <row r="3067" spans="1:1" x14ac:dyDescent="0.25">
      <c r="A3067" s="7"/>
    </row>
    <row r="3068" spans="1:1" x14ac:dyDescent="0.25">
      <c r="A3068" s="7"/>
    </row>
    <row r="3069" spans="1:1" x14ac:dyDescent="0.25">
      <c r="A3069" s="7"/>
    </row>
    <row r="3070" spans="1:1" x14ac:dyDescent="0.25">
      <c r="A3070" s="7"/>
    </row>
    <row r="3071" spans="1:1" x14ac:dyDescent="0.25">
      <c r="A3071" s="7"/>
    </row>
    <row r="3072" spans="1:1" x14ac:dyDescent="0.25">
      <c r="A3072" s="7"/>
    </row>
    <row r="3073" spans="1:1" x14ac:dyDescent="0.25">
      <c r="A3073" s="7"/>
    </row>
    <row r="3074" spans="1:1" x14ac:dyDescent="0.25">
      <c r="A3074" s="7"/>
    </row>
    <row r="3075" spans="1:1" x14ac:dyDescent="0.25">
      <c r="A3075" s="7"/>
    </row>
    <row r="3076" spans="1:1" x14ac:dyDescent="0.25">
      <c r="A3076" s="7"/>
    </row>
    <row r="3077" spans="1:1" x14ac:dyDescent="0.25">
      <c r="A3077" s="7"/>
    </row>
    <row r="3078" spans="1:1" x14ac:dyDescent="0.25">
      <c r="A3078" s="7"/>
    </row>
    <row r="3079" spans="1:1" x14ac:dyDescent="0.25">
      <c r="A3079" s="7"/>
    </row>
    <row r="3080" spans="1:1" x14ac:dyDescent="0.25">
      <c r="A3080" s="7"/>
    </row>
    <row r="3081" spans="1:1" x14ac:dyDescent="0.25">
      <c r="A3081" s="7"/>
    </row>
    <row r="3082" spans="1:1" x14ac:dyDescent="0.25">
      <c r="A3082" s="7"/>
    </row>
    <row r="3083" spans="1:1" x14ac:dyDescent="0.25">
      <c r="A3083" s="7"/>
    </row>
    <row r="3084" spans="1:1" x14ac:dyDescent="0.25">
      <c r="A3084" s="7"/>
    </row>
    <row r="3085" spans="1:1" x14ac:dyDescent="0.25">
      <c r="A3085" s="7"/>
    </row>
    <row r="3086" spans="1:1" x14ac:dyDescent="0.25">
      <c r="A3086" s="7"/>
    </row>
    <row r="3087" spans="1:1" x14ac:dyDescent="0.25">
      <c r="A3087" s="7"/>
    </row>
    <row r="3088" spans="1:1" x14ac:dyDescent="0.25">
      <c r="A3088" s="7"/>
    </row>
    <row r="3089" spans="1:1" x14ac:dyDescent="0.25">
      <c r="A3089" s="7"/>
    </row>
    <row r="3090" spans="1:1" x14ac:dyDescent="0.25">
      <c r="A3090" s="7"/>
    </row>
    <row r="3091" spans="1:1" x14ac:dyDescent="0.25">
      <c r="A3091" s="7"/>
    </row>
    <row r="3092" spans="1:1" x14ac:dyDescent="0.25">
      <c r="A3092" s="7"/>
    </row>
    <row r="3093" spans="1:1" x14ac:dyDescent="0.25">
      <c r="A3093" s="7"/>
    </row>
    <row r="3094" spans="1:1" x14ac:dyDescent="0.25">
      <c r="A3094" s="7"/>
    </row>
    <row r="3095" spans="1:1" x14ac:dyDescent="0.25">
      <c r="A3095" s="7"/>
    </row>
    <row r="3096" spans="1:1" x14ac:dyDescent="0.25">
      <c r="A3096" s="7"/>
    </row>
    <row r="3097" spans="1:1" x14ac:dyDescent="0.25">
      <c r="A3097" s="7"/>
    </row>
    <row r="3098" spans="1:1" x14ac:dyDescent="0.25">
      <c r="A3098" s="7"/>
    </row>
    <row r="3099" spans="1:1" x14ac:dyDescent="0.25">
      <c r="A3099" s="7"/>
    </row>
    <row r="3100" spans="1:1" x14ac:dyDescent="0.25">
      <c r="A3100" s="7"/>
    </row>
    <row r="3101" spans="1:1" x14ac:dyDescent="0.25">
      <c r="A3101" s="7"/>
    </row>
    <row r="3102" spans="1:1" x14ac:dyDescent="0.25">
      <c r="A3102" s="7"/>
    </row>
    <row r="3103" spans="1:1" x14ac:dyDescent="0.25">
      <c r="A3103" s="7"/>
    </row>
    <row r="3104" spans="1:1" x14ac:dyDescent="0.25">
      <c r="A3104" s="7"/>
    </row>
    <row r="3105" spans="1:1" x14ac:dyDescent="0.25">
      <c r="A3105" s="7"/>
    </row>
    <row r="3106" spans="1:1" x14ac:dyDescent="0.25">
      <c r="A3106" s="7"/>
    </row>
    <row r="3107" spans="1:1" x14ac:dyDescent="0.25">
      <c r="A3107" s="7"/>
    </row>
    <row r="3108" spans="1:1" x14ac:dyDescent="0.25">
      <c r="A3108" s="7"/>
    </row>
    <row r="3109" spans="1:1" x14ac:dyDescent="0.25">
      <c r="A3109" s="7"/>
    </row>
    <row r="3110" spans="1:1" x14ac:dyDescent="0.25">
      <c r="A3110" s="7"/>
    </row>
    <row r="3111" spans="1:1" x14ac:dyDescent="0.25">
      <c r="A3111" s="7"/>
    </row>
    <row r="3112" spans="1:1" x14ac:dyDescent="0.25">
      <c r="A3112" s="7"/>
    </row>
    <row r="3113" spans="1:1" x14ac:dyDescent="0.25">
      <c r="A3113" s="7"/>
    </row>
    <row r="3114" spans="1:1" x14ac:dyDescent="0.25">
      <c r="A3114" s="7"/>
    </row>
    <row r="3115" spans="1:1" x14ac:dyDescent="0.25">
      <c r="A3115" s="7"/>
    </row>
    <row r="3116" spans="1:1" x14ac:dyDescent="0.25">
      <c r="A3116" s="7"/>
    </row>
    <row r="3117" spans="1:1" x14ac:dyDescent="0.25">
      <c r="A3117" s="7"/>
    </row>
    <row r="3118" spans="1:1" x14ac:dyDescent="0.25">
      <c r="A3118" s="7"/>
    </row>
    <row r="3119" spans="1:1" x14ac:dyDescent="0.25">
      <c r="A3119" s="7"/>
    </row>
    <row r="3120" spans="1:1" x14ac:dyDescent="0.25">
      <c r="A3120" s="7"/>
    </row>
    <row r="3121" spans="1:1" x14ac:dyDescent="0.25">
      <c r="A3121" s="7"/>
    </row>
    <row r="3122" spans="1:1" x14ac:dyDescent="0.25">
      <c r="A3122" s="7"/>
    </row>
    <row r="3123" spans="1:1" x14ac:dyDescent="0.25">
      <c r="A3123" s="7"/>
    </row>
    <row r="3124" spans="1:1" x14ac:dyDescent="0.25">
      <c r="A3124" s="7"/>
    </row>
    <row r="3125" spans="1:1" x14ac:dyDescent="0.25">
      <c r="A3125" s="7"/>
    </row>
    <row r="3126" spans="1:1" x14ac:dyDescent="0.25">
      <c r="A3126" s="7"/>
    </row>
    <row r="3127" spans="1:1" x14ac:dyDescent="0.25">
      <c r="A3127" s="7"/>
    </row>
    <row r="3128" spans="1:1" x14ac:dyDescent="0.25">
      <c r="A3128" s="7"/>
    </row>
    <row r="3129" spans="1:1" x14ac:dyDescent="0.25">
      <c r="A3129" s="7"/>
    </row>
    <row r="3130" spans="1:1" x14ac:dyDescent="0.25">
      <c r="A3130" s="7"/>
    </row>
    <row r="3131" spans="1:1" x14ac:dyDescent="0.25">
      <c r="A3131" s="7"/>
    </row>
    <row r="3132" spans="1:1" x14ac:dyDescent="0.25">
      <c r="A3132" s="7"/>
    </row>
    <row r="3133" spans="1:1" x14ac:dyDescent="0.25">
      <c r="A3133" s="7"/>
    </row>
    <row r="3134" spans="1:1" x14ac:dyDescent="0.25">
      <c r="A3134" s="7"/>
    </row>
    <row r="3135" spans="1:1" x14ac:dyDescent="0.25">
      <c r="A3135" s="7"/>
    </row>
    <row r="3136" spans="1:1" x14ac:dyDescent="0.25">
      <c r="A3136" s="7"/>
    </row>
    <row r="3137" spans="1:1" x14ac:dyDescent="0.25">
      <c r="A3137" s="7"/>
    </row>
    <row r="3138" spans="1:1" x14ac:dyDescent="0.25">
      <c r="A3138" s="7"/>
    </row>
    <row r="3139" spans="1:1" x14ac:dyDescent="0.25">
      <c r="A3139" s="7"/>
    </row>
    <row r="3140" spans="1:1" x14ac:dyDescent="0.25">
      <c r="A3140" s="7"/>
    </row>
    <row r="3141" spans="1:1" x14ac:dyDescent="0.25">
      <c r="A3141" s="7"/>
    </row>
    <row r="3142" spans="1:1" x14ac:dyDescent="0.25">
      <c r="A3142" s="7"/>
    </row>
    <row r="3143" spans="1:1" x14ac:dyDescent="0.25">
      <c r="A3143" s="7"/>
    </row>
    <row r="3144" spans="1:1" x14ac:dyDescent="0.25">
      <c r="A3144" s="7"/>
    </row>
    <row r="3145" spans="1:1" x14ac:dyDescent="0.25">
      <c r="A3145" s="7"/>
    </row>
    <row r="3146" spans="1:1" x14ac:dyDescent="0.25">
      <c r="A3146" s="7"/>
    </row>
    <row r="3147" spans="1:1" x14ac:dyDescent="0.25">
      <c r="A3147" s="7"/>
    </row>
    <row r="3148" spans="1:1" x14ac:dyDescent="0.25">
      <c r="A3148" s="7"/>
    </row>
    <row r="3149" spans="1:1" x14ac:dyDescent="0.25">
      <c r="A3149" s="7"/>
    </row>
    <row r="3150" spans="1:1" x14ac:dyDescent="0.25">
      <c r="A3150" s="7"/>
    </row>
    <row r="3151" spans="1:1" x14ac:dyDescent="0.25">
      <c r="A3151" s="7"/>
    </row>
    <row r="3152" spans="1:1" x14ac:dyDescent="0.25">
      <c r="A3152" s="7"/>
    </row>
    <row r="3153" spans="1:1" x14ac:dyDescent="0.25">
      <c r="A3153" s="7"/>
    </row>
    <row r="3154" spans="1:1" x14ac:dyDescent="0.25">
      <c r="A3154" s="7"/>
    </row>
    <row r="3155" spans="1:1" x14ac:dyDescent="0.25">
      <c r="A3155" s="7"/>
    </row>
    <row r="3156" spans="1:1" x14ac:dyDescent="0.25">
      <c r="A3156" s="7"/>
    </row>
    <row r="3157" spans="1:1" x14ac:dyDescent="0.25">
      <c r="A3157" s="7"/>
    </row>
    <row r="3158" spans="1:1" x14ac:dyDescent="0.25">
      <c r="A3158" s="7"/>
    </row>
    <row r="3159" spans="1:1" x14ac:dyDescent="0.25">
      <c r="A3159" s="7"/>
    </row>
    <row r="3160" spans="1:1" x14ac:dyDescent="0.25">
      <c r="A3160" s="7"/>
    </row>
    <row r="3161" spans="1:1" x14ac:dyDescent="0.25">
      <c r="A3161" s="7"/>
    </row>
    <row r="3162" spans="1:1" x14ac:dyDescent="0.25">
      <c r="A3162" s="7"/>
    </row>
    <row r="3163" spans="1:1" x14ac:dyDescent="0.25">
      <c r="A3163" s="7"/>
    </row>
    <row r="3164" spans="1:1" x14ac:dyDescent="0.25">
      <c r="A3164" s="7"/>
    </row>
    <row r="3165" spans="1:1" x14ac:dyDescent="0.25">
      <c r="A3165" s="7"/>
    </row>
    <row r="3166" spans="1:1" x14ac:dyDescent="0.25">
      <c r="A3166" s="7"/>
    </row>
    <row r="3167" spans="1:1" x14ac:dyDescent="0.25">
      <c r="A3167" s="7"/>
    </row>
    <row r="3168" spans="1:1" x14ac:dyDescent="0.25">
      <c r="A3168" s="7"/>
    </row>
    <row r="3169" spans="1:1" x14ac:dyDescent="0.25">
      <c r="A3169" s="7"/>
    </row>
    <row r="3170" spans="1:1" x14ac:dyDescent="0.25">
      <c r="A3170" s="7"/>
    </row>
    <row r="3171" spans="1:1" x14ac:dyDescent="0.25">
      <c r="A3171" s="7"/>
    </row>
    <row r="3172" spans="1:1" x14ac:dyDescent="0.25">
      <c r="A3172" s="7"/>
    </row>
    <row r="3173" spans="1:1" x14ac:dyDescent="0.25">
      <c r="A3173" s="7"/>
    </row>
    <row r="3174" spans="1:1" x14ac:dyDescent="0.25">
      <c r="A3174" s="7"/>
    </row>
    <row r="3175" spans="1:1" x14ac:dyDescent="0.25">
      <c r="A3175" s="7"/>
    </row>
    <row r="3176" spans="1:1" x14ac:dyDescent="0.25">
      <c r="A3176" s="7"/>
    </row>
    <row r="3177" spans="1:1" x14ac:dyDescent="0.25">
      <c r="A3177" s="7"/>
    </row>
    <row r="3178" spans="1:1" x14ac:dyDescent="0.25">
      <c r="A3178" s="7"/>
    </row>
    <row r="3179" spans="1:1" x14ac:dyDescent="0.25">
      <c r="A3179" s="7"/>
    </row>
    <row r="3180" spans="1:1" x14ac:dyDescent="0.25">
      <c r="A3180" s="7"/>
    </row>
    <row r="3181" spans="1:1" x14ac:dyDescent="0.25">
      <c r="A3181" s="7"/>
    </row>
    <row r="3182" spans="1:1" x14ac:dyDescent="0.25">
      <c r="A3182" s="7"/>
    </row>
    <row r="3183" spans="1:1" x14ac:dyDescent="0.25">
      <c r="A3183" s="7"/>
    </row>
    <row r="3184" spans="1:1" x14ac:dyDescent="0.25">
      <c r="A3184" s="7"/>
    </row>
    <row r="3185" spans="1:1" x14ac:dyDescent="0.25">
      <c r="A3185" s="7"/>
    </row>
    <row r="3186" spans="1:1" x14ac:dyDescent="0.25">
      <c r="A3186" s="7"/>
    </row>
    <row r="3187" spans="1:1" x14ac:dyDescent="0.25">
      <c r="A3187" s="7"/>
    </row>
    <row r="3188" spans="1:1" x14ac:dyDescent="0.25">
      <c r="A3188" s="7"/>
    </row>
    <row r="3189" spans="1:1" x14ac:dyDescent="0.25">
      <c r="A3189" s="7"/>
    </row>
    <row r="3190" spans="1:1" x14ac:dyDescent="0.25">
      <c r="A3190" s="7"/>
    </row>
    <row r="3191" spans="1:1" x14ac:dyDescent="0.25">
      <c r="A3191" s="7"/>
    </row>
    <row r="3192" spans="1:1" x14ac:dyDescent="0.25">
      <c r="A3192" s="7"/>
    </row>
    <row r="3193" spans="1:1" x14ac:dyDescent="0.25">
      <c r="A3193" s="7"/>
    </row>
    <row r="3194" spans="1:1" x14ac:dyDescent="0.25">
      <c r="A3194" s="7"/>
    </row>
    <row r="3195" spans="1:1" x14ac:dyDescent="0.25">
      <c r="A3195" s="7"/>
    </row>
    <row r="3196" spans="1:1" x14ac:dyDescent="0.25">
      <c r="A3196" s="7"/>
    </row>
    <row r="3197" spans="1:1" x14ac:dyDescent="0.25">
      <c r="A3197" s="7"/>
    </row>
    <row r="3198" spans="1:1" x14ac:dyDescent="0.25">
      <c r="A3198" s="7"/>
    </row>
    <row r="3199" spans="1:1" x14ac:dyDescent="0.25">
      <c r="A3199" s="7"/>
    </row>
    <row r="3200" spans="1:1" x14ac:dyDescent="0.25">
      <c r="A3200" s="7"/>
    </row>
    <row r="3201" spans="1:1" x14ac:dyDescent="0.25">
      <c r="A3201" s="7"/>
    </row>
    <row r="3202" spans="1:1" x14ac:dyDescent="0.25">
      <c r="A3202" s="7"/>
    </row>
    <row r="3203" spans="1:1" x14ac:dyDescent="0.25">
      <c r="A3203" s="7"/>
    </row>
    <row r="3204" spans="1:1" x14ac:dyDescent="0.25">
      <c r="A3204" s="7"/>
    </row>
    <row r="3205" spans="1:1" x14ac:dyDescent="0.25">
      <c r="A3205" s="7"/>
    </row>
    <row r="3206" spans="1:1" x14ac:dyDescent="0.25">
      <c r="A3206" s="7"/>
    </row>
    <row r="3207" spans="1:1" x14ac:dyDescent="0.25">
      <c r="A3207" s="7"/>
    </row>
    <row r="3208" spans="1:1" x14ac:dyDescent="0.25">
      <c r="A3208" s="7"/>
    </row>
    <row r="3209" spans="1:1" x14ac:dyDescent="0.25">
      <c r="A3209" s="7"/>
    </row>
    <row r="3210" spans="1:1" x14ac:dyDescent="0.25">
      <c r="A3210" s="7"/>
    </row>
    <row r="3211" spans="1:1" x14ac:dyDescent="0.25">
      <c r="A3211" s="7"/>
    </row>
    <row r="3212" spans="1:1" x14ac:dyDescent="0.25">
      <c r="A3212" s="7"/>
    </row>
    <row r="3213" spans="1:1" x14ac:dyDescent="0.25">
      <c r="A3213" s="7"/>
    </row>
    <row r="3214" spans="1:1" x14ac:dyDescent="0.25">
      <c r="A3214" s="7"/>
    </row>
    <row r="3215" spans="1:1" x14ac:dyDescent="0.25">
      <c r="A3215" s="7"/>
    </row>
    <row r="3216" spans="1:1" x14ac:dyDescent="0.25">
      <c r="A3216" s="7"/>
    </row>
    <row r="3217" spans="1:1" x14ac:dyDescent="0.25">
      <c r="A3217" s="7"/>
    </row>
    <row r="3218" spans="1:1" x14ac:dyDescent="0.25">
      <c r="A3218" s="7"/>
    </row>
    <row r="3219" spans="1:1" x14ac:dyDescent="0.25">
      <c r="A3219" s="7"/>
    </row>
    <row r="3220" spans="1:1" x14ac:dyDescent="0.25">
      <c r="A3220" s="7"/>
    </row>
    <row r="3221" spans="1:1" x14ac:dyDescent="0.25">
      <c r="A3221" s="7"/>
    </row>
    <row r="3222" spans="1:1" x14ac:dyDescent="0.25">
      <c r="A3222" s="7"/>
    </row>
    <row r="3223" spans="1:1" x14ac:dyDescent="0.25">
      <c r="A3223" s="7"/>
    </row>
    <row r="3224" spans="1:1" x14ac:dyDescent="0.25">
      <c r="A3224" s="7"/>
    </row>
    <row r="3225" spans="1:1" x14ac:dyDescent="0.25">
      <c r="A3225" s="7"/>
    </row>
    <row r="3226" spans="1:1" x14ac:dyDescent="0.25">
      <c r="A3226" s="7"/>
    </row>
    <row r="3227" spans="1:1" x14ac:dyDescent="0.25">
      <c r="A3227" s="7"/>
    </row>
    <row r="3228" spans="1:1" x14ac:dyDescent="0.25">
      <c r="A3228" s="7"/>
    </row>
    <row r="3229" spans="1:1" x14ac:dyDescent="0.25">
      <c r="A3229" s="7"/>
    </row>
    <row r="3230" spans="1:1" x14ac:dyDescent="0.25">
      <c r="A3230" s="7"/>
    </row>
    <row r="3231" spans="1:1" x14ac:dyDescent="0.25">
      <c r="A3231" s="7"/>
    </row>
    <row r="3232" spans="1:1" x14ac:dyDescent="0.25">
      <c r="A3232" s="7"/>
    </row>
    <row r="3233" spans="1:1" x14ac:dyDescent="0.25">
      <c r="A3233" s="7"/>
    </row>
    <row r="3234" spans="1:1" x14ac:dyDescent="0.25">
      <c r="A3234" s="7"/>
    </row>
    <row r="3235" spans="1:1" x14ac:dyDescent="0.25">
      <c r="A3235" s="7"/>
    </row>
    <row r="3236" spans="1:1" x14ac:dyDescent="0.25">
      <c r="A3236" s="7"/>
    </row>
    <row r="3237" spans="1:1" x14ac:dyDescent="0.25">
      <c r="A3237" s="7"/>
    </row>
    <row r="3238" spans="1:1" x14ac:dyDescent="0.25">
      <c r="A3238" s="7"/>
    </row>
    <row r="3239" spans="1:1" x14ac:dyDescent="0.25">
      <c r="A3239" s="7"/>
    </row>
    <row r="3240" spans="1:1" x14ac:dyDescent="0.25">
      <c r="A3240" s="7"/>
    </row>
    <row r="3241" spans="1:1" x14ac:dyDescent="0.25">
      <c r="A3241" s="7"/>
    </row>
    <row r="3242" spans="1:1" x14ac:dyDescent="0.25">
      <c r="A3242" s="7"/>
    </row>
    <row r="3243" spans="1:1" x14ac:dyDescent="0.25">
      <c r="A3243" s="7"/>
    </row>
    <row r="3244" spans="1:1" x14ac:dyDescent="0.25">
      <c r="A3244" s="7"/>
    </row>
    <row r="3245" spans="1:1" x14ac:dyDescent="0.25">
      <c r="A3245" s="7"/>
    </row>
    <row r="3246" spans="1:1" x14ac:dyDescent="0.25">
      <c r="A3246" s="7"/>
    </row>
    <row r="3247" spans="1:1" x14ac:dyDescent="0.25">
      <c r="A3247" s="7"/>
    </row>
    <row r="3248" spans="1:1" x14ac:dyDescent="0.25">
      <c r="A3248" s="7"/>
    </row>
    <row r="3249" spans="1:1" x14ac:dyDescent="0.25">
      <c r="A3249" s="7"/>
    </row>
    <row r="3250" spans="1:1" x14ac:dyDescent="0.25">
      <c r="A3250" s="7"/>
    </row>
    <row r="3251" spans="1:1" x14ac:dyDescent="0.25">
      <c r="A3251" s="7"/>
    </row>
    <row r="3252" spans="1:1" x14ac:dyDescent="0.25">
      <c r="A3252" s="7"/>
    </row>
    <row r="3253" spans="1:1" x14ac:dyDescent="0.25">
      <c r="A3253" s="7"/>
    </row>
    <row r="3254" spans="1:1" x14ac:dyDescent="0.25">
      <c r="A3254" s="7"/>
    </row>
    <row r="3255" spans="1:1" x14ac:dyDescent="0.25">
      <c r="A3255" s="7"/>
    </row>
    <row r="3256" spans="1:1" x14ac:dyDescent="0.25">
      <c r="A3256" s="7"/>
    </row>
    <row r="3257" spans="1:1" x14ac:dyDescent="0.25">
      <c r="A3257" s="7"/>
    </row>
    <row r="3258" spans="1:1" x14ac:dyDescent="0.25">
      <c r="A3258" s="7"/>
    </row>
    <row r="3259" spans="1:1" x14ac:dyDescent="0.25">
      <c r="A3259" s="7"/>
    </row>
    <row r="3260" spans="1:1" x14ac:dyDescent="0.25">
      <c r="A3260" s="7"/>
    </row>
    <row r="3261" spans="1:1" x14ac:dyDescent="0.25">
      <c r="A3261" s="7"/>
    </row>
    <row r="3262" spans="1:1" x14ac:dyDescent="0.25">
      <c r="A3262" s="7"/>
    </row>
    <row r="3263" spans="1:1" x14ac:dyDescent="0.25">
      <c r="A3263" s="7"/>
    </row>
    <row r="3264" spans="1:1" x14ac:dyDescent="0.25">
      <c r="A3264" s="7"/>
    </row>
    <row r="3265" spans="1:1" x14ac:dyDescent="0.25">
      <c r="A3265" s="7"/>
    </row>
    <row r="3266" spans="1:1" x14ac:dyDescent="0.25">
      <c r="A3266" s="7"/>
    </row>
    <row r="3267" spans="1:1" x14ac:dyDescent="0.25">
      <c r="A3267" s="7"/>
    </row>
    <row r="3268" spans="1:1" x14ac:dyDescent="0.25">
      <c r="A3268" s="7"/>
    </row>
    <row r="3269" spans="1:1" x14ac:dyDescent="0.25">
      <c r="A3269" s="7"/>
    </row>
    <row r="3270" spans="1:1" x14ac:dyDescent="0.25">
      <c r="A3270" s="7"/>
    </row>
    <row r="3271" spans="1:1" x14ac:dyDescent="0.25">
      <c r="A3271" s="7"/>
    </row>
    <row r="3272" spans="1:1" x14ac:dyDescent="0.25">
      <c r="A3272" s="7"/>
    </row>
    <row r="3273" spans="1:1" x14ac:dyDescent="0.25">
      <c r="A3273" s="7"/>
    </row>
    <row r="3274" spans="1:1" x14ac:dyDescent="0.25">
      <c r="A3274" s="7"/>
    </row>
    <row r="3275" spans="1:1" x14ac:dyDescent="0.25">
      <c r="A3275" s="7"/>
    </row>
    <row r="3276" spans="1:1" x14ac:dyDescent="0.25">
      <c r="A3276" s="7"/>
    </row>
    <row r="3277" spans="1:1" x14ac:dyDescent="0.25">
      <c r="A3277" s="7"/>
    </row>
    <row r="3278" spans="1:1" x14ac:dyDescent="0.25">
      <c r="A3278" s="7"/>
    </row>
    <row r="3279" spans="1:1" x14ac:dyDescent="0.25">
      <c r="A3279" s="7"/>
    </row>
    <row r="3280" spans="1:1" x14ac:dyDescent="0.25">
      <c r="A3280" s="7"/>
    </row>
    <row r="3281" spans="1:1" x14ac:dyDescent="0.25">
      <c r="A3281" s="7"/>
    </row>
    <row r="3282" spans="1:1" x14ac:dyDescent="0.25">
      <c r="A3282" s="7"/>
    </row>
    <row r="3283" spans="1:1" x14ac:dyDescent="0.25">
      <c r="A3283" s="7"/>
    </row>
    <row r="3284" spans="1:1" x14ac:dyDescent="0.25">
      <c r="A3284" s="7"/>
    </row>
    <row r="3285" spans="1:1" x14ac:dyDescent="0.25">
      <c r="A3285" s="7"/>
    </row>
    <row r="3286" spans="1:1" x14ac:dyDescent="0.25">
      <c r="A3286" s="7"/>
    </row>
    <row r="3287" spans="1:1" x14ac:dyDescent="0.25">
      <c r="A3287" s="7"/>
    </row>
    <row r="3288" spans="1:1" x14ac:dyDescent="0.25">
      <c r="A3288" s="7"/>
    </row>
    <row r="3289" spans="1:1" x14ac:dyDescent="0.25">
      <c r="A3289" s="7"/>
    </row>
    <row r="3290" spans="1:1" x14ac:dyDescent="0.25">
      <c r="A3290" s="7"/>
    </row>
    <row r="3291" spans="1:1" x14ac:dyDescent="0.25">
      <c r="A3291" s="7"/>
    </row>
    <row r="3292" spans="1:1" x14ac:dyDescent="0.25">
      <c r="A3292" s="7"/>
    </row>
    <row r="3293" spans="1:1" x14ac:dyDescent="0.25">
      <c r="A3293" s="7"/>
    </row>
    <row r="3294" spans="1:1" x14ac:dyDescent="0.25">
      <c r="A3294" s="7"/>
    </row>
    <row r="3295" spans="1:1" x14ac:dyDescent="0.25">
      <c r="A3295" s="7"/>
    </row>
    <row r="3296" spans="1:1" x14ac:dyDescent="0.25">
      <c r="A3296" s="7"/>
    </row>
    <row r="3297" spans="1:1" x14ac:dyDescent="0.25">
      <c r="A3297" s="7"/>
    </row>
    <row r="3298" spans="1:1" x14ac:dyDescent="0.25">
      <c r="A3298" s="7"/>
    </row>
    <row r="3299" spans="1:1" x14ac:dyDescent="0.25">
      <c r="A3299" s="7"/>
    </row>
    <row r="3300" spans="1:1" x14ac:dyDescent="0.25">
      <c r="A3300" s="7"/>
    </row>
    <row r="3301" spans="1:1" x14ac:dyDescent="0.25">
      <c r="A3301" s="7"/>
    </row>
    <row r="3302" spans="1:1" x14ac:dyDescent="0.25">
      <c r="A3302" s="7"/>
    </row>
    <row r="3303" spans="1:1" x14ac:dyDescent="0.25">
      <c r="A3303" s="7"/>
    </row>
    <row r="3304" spans="1:1" x14ac:dyDescent="0.25">
      <c r="A3304" s="7"/>
    </row>
    <row r="3305" spans="1:1" x14ac:dyDescent="0.25">
      <c r="A3305" s="7"/>
    </row>
    <row r="3306" spans="1:1" x14ac:dyDescent="0.25">
      <c r="A3306" s="7"/>
    </row>
    <row r="3307" spans="1:1" x14ac:dyDescent="0.25">
      <c r="A3307" s="7"/>
    </row>
    <row r="3308" spans="1:1" x14ac:dyDescent="0.25">
      <c r="A3308" s="7"/>
    </row>
    <row r="3309" spans="1:1" x14ac:dyDescent="0.25">
      <c r="A3309" s="7"/>
    </row>
    <row r="3310" spans="1:1" x14ac:dyDescent="0.25">
      <c r="A3310" s="7"/>
    </row>
    <row r="3311" spans="1:1" x14ac:dyDescent="0.25">
      <c r="A3311" s="7"/>
    </row>
    <row r="3312" spans="1:1" x14ac:dyDescent="0.25">
      <c r="A3312" s="7"/>
    </row>
    <row r="3313" spans="1:1" x14ac:dyDescent="0.25">
      <c r="A3313" s="7"/>
    </row>
    <row r="3314" spans="1:1" x14ac:dyDescent="0.25">
      <c r="A3314" s="7"/>
    </row>
    <row r="3315" spans="1:1" x14ac:dyDescent="0.25">
      <c r="A3315" s="7"/>
    </row>
    <row r="3316" spans="1:1" x14ac:dyDescent="0.25">
      <c r="A3316" s="7"/>
    </row>
    <row r="3317" spans="1:1" x14ac:dyDescent="0.25">
      <c r="A3317" s="7"/>
    </row>
    <row r="3318" spans="1:1" x14ac:dyDescent="0.25">
      <c r="A3318" s="7"/>
    </row>
    <row r="3319" spans="1:1" x14ac:dyDescent="0.25">
      <c r="A3319" s="7"/>
    </row>
    <row r="3320" spans="1:1" x14ac:dyDescent="0.25">
      <c r="A3320" s="7"/>
    </row>
    <row r="3321" spans="1:1" x14ac:dyDescent="0.25">
      <c r="A3321" s="7"/>
    </row>
    <row r="3322" spans="1:1" x14ac:dyDescent="0.25">
      <c r="A3322" s="7"/>
    </row>
    <row r="3323" spans="1:1" x14ac:dyDescent="0.25">
      <c r="A3323" s="7"/>
    </row>
    <row r="3324" spans="1:1" x14ac:dyDescent="0.25">
      <c r="A3324" s="7"/>
    </row>
    <row r="3325" spans="1:1" x14ac:dyDescent="0.25">
      <c r="A3325" s="7"/>
    </row>
    <row r="3326" spans="1:1" x14ac:dyDescent="0.25">
      <c r="A3326" s="7"/>
    </row>
    <row r="3327" spans="1:1" x14ac:dyDescent="0.25">
      <c r="A3327" s="7"/>
    </row>
    <row r="3328" spans="1:1" x14ac:dyDescent="0.25">
      <c r="A3328" s="7"/>
    </row>
    <row r="3329" spans="1:1" x14ac:dyDescent="0.25">
      <c r="A3329" s="7"/>
    </row>
    <row r="3330" spans="1:1" x14ac:dyDescent="0.25">
      <c r="A3330" s="7"/>
    </row>
    <row r="3331" spans="1:1" x14ac:dyDescent="0.25">
      <c r="A3331" s="7"/>
    </row>
    <row r="3332" spans="1:1" x14ac:dyDescent="0.25">
      <c r="A3332" s="7"/>
    </row>
    <row r="3333" spans="1:1" x14ac:dyDescent="0.25">
      <c r="A3333" s="7"/>
    </row>
    <row r="3334" spans="1:1" x14ac:dyDescent="0.25">
      <c r="A3334" s="7"/>
    </row>
    <row r="3335" spans="1:1" x14ac:dyDescent="0.25">
      <c r="A3335" s="7"/>
    </row>
    <row r="3336" spans="1:1" x14ac:dyDescent="0.25">
      <c r="A3336" s="7"/>
    </row>
    <row r="3337" spans="1:1" x14ac:dyDescent="0.25">
      <c r="A3337" s="7"/>
    </row>
    <row r="3338" spans="1:1" x14ac:dyDescent="0.25">
      <c r="A3338" s="7"/>
    </row>
    <row r="3339" spans="1:1" x14ac:dyDescent="0.25">
      <c r="A3339" s="7"/>
    </row>
    <row r="3340" spans="1:1" x14ac:dyDescent="0.25">
      <c r="A3340" s="7"/>
    </row>
    <row r="3341" spans="1:1" x14ac:dyDescent="0.25">
      <c r="A3341" s="7"/>
    </row>
    <row r="3342" spans="1:1" x14ac:dyDescent="0.25">
      <c r="A3342" s="7"/>
    </row>
    <row r="3343" spans="1:1" x14ac:dyDescent="0.25">
      <c r="A3343" s="7"/>
    </row>
    <row r="3344" spans="1:1" x14ac:dyDescent="0.25">
      <c r="A3344" s="7"/>
    </row>
    <row r="3345" spans="1:1" x14ac:dyDescent="0.25">
      <c r="A3345" s="7"/>
    </row>
    <row r="3346" spans="1:1" x14ac:dyDescent="0.25">
      <c r="A3346" s="7"/>
    </row>
    <row r="3347" spans="1:1" x14ac:dyDescent="0.25">
      <c r="A3347" s="7"/>
    </row>
    <row r="3348" spans="1:1" x14ac:dyDescent="0.25">
      <c r="A3348" s="7"/>
    </row>
    <row r="3349" spans="1:1" x14ac:dyDescent="0.25">
      <c r="A3349" s="7"/>
    </row>
    <row r="3350" spans="1:1" x14ac:dyDescent="0.25">
      <c r="A3350" s="7"/>
    </row>
    <row r="3351" spans="1:1" x14ac:dyDescent="0.25">
      <c r="A3351" s="7"/>
    </row>
    <row r="3352" spans="1:1" x14ac:dyDescent="0.25">
      <c r="A3352" s="7"/>
    </row>
    <row r="3353" spans="1:1" x14ac:dyDescent="0.25">
      <c r="A3353" s="7"/>
    </row>
    <row r="3354" spans="1:1" x14ac:dyDescent="0.25">
      <c r="A3354" s="7"/>
    </row>
    <row r="3355" spans="1:1" x14ac:dyDescent="0.25">
      <c r="A3355" s="7"/>
    </row>
    <row r="3356" spans="1:1" x14ac:dyDescent="0.25">
      <c r="A3356" s="7"/>
    </row>
    <row r="3357" spans="1:1" x14ac:dyDescent="0.25">
      <c r="A3357" s="7"/>
    </row>
    <row r="3358" spans="1:1" x14ac:dyDescent="0.25">
      <c r="A3358" s="7"/>
    </row>
    <row r="3359" spans="1:1" x14ac:dyDescent="0.25">
      <c r="A3359" s="7"/>
    </row>
    <row r="3360" spans="1:1" x14ac:dyDescent="0.25">
      <c r="A3360" s="7"/>
    </row>
    <row r="3361" spans="1:1" x14ac:dyDescent="0.25">
      <c r="A3361" s="7"/>
    </row>
    <row r="3362" spans="1:1" x14ac:dyDescent="0.25">
      <c r="A3362" s="7"/>
    </row>
    <row r="3363" spans="1:1" x14ac:dyDescent="0.25">
      <c r="A3363" s="7"/>
    </row>
    <row r="3364" spans="1:1" x14ac:dyDescent="0.25">
      <c r="A3364" s="7"/>
    </row>
    <row r="3365" spans="1:1" x14ac:dyDescent="0.25">
      <c r="A3365" s="7"/>
    </row>
    <row r="3366" spans="1:1" x14ac:dyDescent="0.25">
      <c r="A3366" s="7"/>
    </row>
    <row r="3367" spans="1:1" x14ac:dyDescent="0.25">
      <c r="A3367" s="7"/>
    </row>
    <row r="3368" spans="1:1" x14ac:dyDescent="0.25">
      <c r="A3368" s="7"/>
    </row>
    <row r="3369" spans="1:1" x14ac:dyDescent="0.25">
      <c r="A3369" s="7"/>
    </row>
    <row r="3370" spans="1:1" x14ac:dyDescent="0.25">
      <c r="A3370" s="7"/>
    </row>
    <row r="3371" spans="1:1" x14ac:dyDescent="0.25">
      <c r="A3371" s="7"/>
    </row>
    <row r="3372" spans="1:1" x14ac:dyDescent="0.25">
      <c r="A3372" s="7"/>
    </row>
    <row r="3373" spans="1:1" x14ac:dyDescent="0.25">
      <c r="A3373" s="7"/>
    </row>
    <row r="3374" spans="1:1" x14ac:dyDescent="0.25">
      <c r="A3374" s="7"/>
    </row>
    <row r="3375" spans="1:1" x14ac:dyDescent="0.25">
      <c r="A3375" s="7"/>
    </row>
    <row r="3376" spans="1:1" x14ac:dyDescent="0.25">
      <c r="A3376" s="7"/>
    </row>
    <row r="3377" spans="1:1" x14ac:dyDescent="0.25">
      <c r="A3377" s="7"/>
    </row>
    <row r="3378" spans="1:1" x14ac:dyDescent="0.25">
      <c r="A3378" s="7"/>
    </row>
    <row r="3379" spans="1:1" x14ac:dyDescent="0.25">
      <c r="A3379" s="7"/>
    </row>
    <row r="3380" spans="1:1" x14ac:dyDescent="0.25">
      <c r="A3380" s="7"/>
    </row>
    <row r="3381" spans="1:1" x14ac:dyDescent="0.25">
      <c r="A3381" s="7"/>
    </row>
    <row r="3382" spans="1:1" x14ac:dyDescent="0.25">
      <c r="A3382" s="7"/>
    </row>
    <row r="3383" spans="1:1" x14ac:dyDescent="0.25">
      <c r="A3383" s="7"/>
    </row>
    <row r="3384" spans="1:1" x14ac:dyDescent="0.25">
      <c r="A3384" s="7"/>
    </row>
    <row r="3385" spans="1:1" x14ac:dyDescent="0.25">
      <c r="A3385" s="7"/>
    </row>
    <row r="3386" spans="1:1" x14ac:dyDescent="0.25">
      <c r="A3386" s="7"/>
    </row>
    <row r="3387" spans="1:1" x14ac:dyDescent="0.25">
      <c r="A3387" s="7"/>
    </row>
    <row r="3388" spans="1:1" x14ac:dyDescent="0.25">
      <c r="A3388" s="7"/>
    </row>
    <row r="3389" spans="1:1" x14ac:dyDescent="0.25">
      <c r="A3389" s="7"/>
    </row>
    <row r="3390" spans="1:1" x14ac:dyDescent="0.25">
      <c r="A3390" s="7"/>
    </row>
    <row r="3391" spans="1:1" x14ac:dyDescent="0.25">
      <c r="A3391" s="7"/>
    </row>
    <row r="3392" spans="1:1" x14ac:dyDescent="0.25">
      <c r="A3392" s="7"/>
    </row>
    <row r="3393" spans="1:1" x14ac:dyDescent="0.25">
      <c r="A3393" s="7"/>
    </row>
    <row r="3394" spans="1:1" x14ac:dyDescent="0.25">
      <c r="A3394" s="7"/>
    </row>
    <row r="3395" spans="1:1" x14ac:dyDescent="0.25">
      <c r="A3395" s="7"/>
    </row>
    <row r="3396" spans="1:1" x14ac:dyDescent="0.25">
      <c r="A3396" s="7"/>
    </row>
    <row r="3397" spans="1:1" x14ac:dyDescent="0.25">
      <c r="A3397" s="7"/>
    </row>
    <row r="3398" spans="1:1" x14ac:dyDescent="0.25">
      <c r="A3398" s="7"/>
    </row>
    <row r="3399" spans="1:1" x14ac:dyDescent="0.25">
      <c r="A3399" s="7"/>
    </row>
    <row r="3400" spans="1:1" x14ac:dyDescent="0.25">
      <c r="A3400" s="7"/>
    </row>
    <row r="3401" spans="1:1" x14ac:dyDescent="0.25">
      <c r="A3401" s="7"/>
    </row>
    <row r="3402" spans="1:1" x14ac:dyDescent="0.25">
      <c r="A3402" s="7"/>
    </row>
    <row r="3403" spans="1:1" x14ac:dyDescent="0.25">
      <c r="A3403" s="7"/>
    </row>
    <row r="3404" spans="1:1" x14ac:dyDescent="0.25">
      <c r="A3404" s="7"/>
    </row>
    <row r="3405" spans="1:1" x14ac:dyDescent="0.25">
      <c r="A3405" s="7"/>
    </row>
    <row r="3406" spans="1:1" x14ac:dyDescent="0.25">
      <c r="A3406" s="7"/>
    </row>
    <row r="3407" spans="1:1" x14ac:dyDescent="0.25">
      <c r="A3407" s="7"/>
    </row>
    <row r="3408" spans="1:1" x14ac:dyDescent="0.25">
      <c r="A3408" s="7"/>
    </row>
    <row r="3409" spans="1:1" x14ac:dyDescent="0.25">
      <c r="A3409" s="7"/>
    </row>
    <row r="3410" spans="1:1" x14ac:dyDescent="0.25">
      <c r="A3410" s="7"/>
    </row>
    <row r="3411" spans="1:1" x14ac:dyDescent="0.25">
      <c r="A3411" s="7"/>
    </row>
    <row r="3412" spans="1:1" x14ac:dyDescent="0.25">
      <c r="A3412" s="7"/>
    </row>
    <row r="3413" spans="1:1" x14ac:dyDescent="0.25">
      <c r="A3413" s="7"/>
    </row>
    <row r="3414" spans="1:1" x14ac:dyDescent="0.25">
      <c r="A3414" s="7"/>
    </row>
    <row r="3415" spans="1:1" x14ac:dyDescent="0.25">
      <c r="A3415" s="7"/>
    </row>
    <row r="3416" spans="1:1" x14ac:dyDescent="0.25">
      <c r="A3416" s="7"/>
    </row>
    <row r="3417" spans="1:1" x14ac:dyDescent="0.25">
      <c r="A3417" s="7"/>
    </row>
    <row r="3418" spans="1:1" x14ac:dyDescent="0.25">
      <c r="A3418" s="7"/>
    </row>
    <row r="3419" spans="1:1" x14ac:dyDescent="0.25">
      <c r="A3419" s="7"/>
    </row>
    <row r="3420" spans="1:1" x14ac:dyDescent="0.25">
      <c r="A3420" s="7"/>
    </row>
    <row r="3421" spans="1:1" x14ac:dyDescent="0.25">
      <c r="A3421" s="7"/>
    </row>
    <row r="3422" spans="1:1" x14ac:dyDescent="0.25">
      <c r="A3422" s="7"/>
    </row>
    <row r="3423" spans="1:1" x14ac:dyDescent="0.25">
      <c r="A3423" s="7"/>
    </row>
    <row r="3424" spans="1:1" x14ac:dyDescent="0.25">
      <c r="A3424" s="7"/>
    </row>
    <row r="3425" spans="1:1" x14ac:dyDescent="0.25">
      <c r="A3425" s="7"/>
    </row>
    <row r="3426" spans="1:1" x14ac:dyDescent="0.25">
      <c r="A3426" s="7"/>
    </row>
    <row r="3427" spans="1:1" x14ac:dyDescent="0.25">
      <c r="A3427" s="7"/>
    </row>
    <row r="3428" spans="1:1" x14ac:dyDescent="0.25">
      <c r="A3428" s="7"/>
    </row>
    <row r="3429" spans="1:1" x14ac:dyDescent="0.25">
      <c r="A3429" s="7"/>
    </row>
    <row r="3430" spans="1:1" x14ac:dyDescent="0.25">
      <c r="A3430" s="7"/>
    </row>
    <row r="3431" spans="1:1" x14ac:dyDescent="0.25">
      <c r="A3431" s="7"/>
    </row>
    <row r="3432" spans="1:1" x14ac:dyDescent="0.25">
      <c r="A3432" s="7"/>
    </row>
    <row r="3433" spans="1:1" x14ac:dyDescent="0.25">
      <c r="A3433" s="7"/>
    </row>
    <row r="3434" spans="1:1" x14ac:dyDescent="0.25">
      <c r="A3434" s="7"/>
    </row>
    <row r="3435" spans="1:1" x14ac:dyDescent="0.25">
      <c r="A3435" s="7"/>
    </row>
    <row r="3436" spans="1:1" x14ac:dyDescent="0.25">
      <c r="A3436" s="7"/>
    </row>
    <row r="3437" spans="1:1" x14ac:dyDescent="0.25">
      <c r="A3437" s="7"/>
    </row>
    <row r="3438" spans="1:1" x14ac:dyDescent="0.25">
      <c r="A3438" s="7"/>
    </row>
    <row r="3439" spans="1:1" x14ac:dyDescent="0.25">
      <c r="A3439" s="7"/>
    </row>
    <row r="3440" spans="1:1" x14ac:dyDescent="0.25">
      <c r="A3440" s="7"/>
    </row>
    <row r="3441" spans="1:1" x14ac:dyDescent="0.25">
      <c r="A3441" s="7"/>
    </row>
    <row r="3442" spans="1:1" x14ac:dyDescent="0.25">
      <c r="A3442" s="7"/>
    </row>
    <row r="3443" spans="1:1" x14ac:dyDescent="0.25">
      <c r="A3443" s="7"/>
    </row>
    <row r="3444" spans="1:1" x14ac:dyDescent="0.25">
      <c r="A3444" s="7"/>
    </row>
    <row r="3445" spans="1:1" x14ac:dyDescent="0.25">
      <c r="A3445" s="7"/>
    </row>
    <row r="3446" spans="1:1" x14ac:dyDescent="0.25">
      <c r="A3446" s="7"/>
    </row>
    <row r="3447" spans="1:1" x14ac:dyDescent="0.25">
      <c r="A3447" s="7"/>
    </row>
    <row r="3448" spans="1:1" x14ac:dyDescent="0.25">
      <c r="A3448" s="7"/>
    </row>
    <row r="3449" spans="1:1" x14ac:dyDescent="0.25">
      <c r="A3449" s="7"/>
    </row>
    <row r="3450" spans="1:1" x14ac:dyDescent="0.25">
      <c r="A3450" s="7"/>
    </row>
    <row r="3451" spans="1:1" x14ac:dyDescent="0.25">
      <c r="A3451" s="7"/>
    </row>
    <row r="3452" spans="1:1" x14ac:dyDescent="0.25">
      <c r="A3452" s="7"/>
    </row>
    <row r="3453" spans="1:1" x14ac:dyDescent="0.25">
      <c r="A3453" s="7"/>
    </row>
    <row r="3454" spans="1:1" x14ac:dyDescent="0.25">
      <c r="A3454" s="7"/>
    </row>
    <row r="3455" spans="1:1" x14ac:dyDescent="0.25">
      <c r="A3455" s="7"/>
    </row>
    <row r="3456" spans="1:1" x14ac:dyDescent="0.25">
      <c r="A3456" s="7"/>
    </row>
    <row r="3457" spans="1:1" x14ac:dyDescent="0.25">
      <c r="A3457" s="7"/>
    </row>
    <row r="3458" spans="1:1" x14ac:dyDescent="0.25">
      <c r="A3458" s="7"/>
    </row>
    <row r="3459" spans="1:1" x14ac:dyDescent="0.25">
      <c r="A3459" s="7"/>
    </row>
    <row r="3460" spans="1:1" x14ac:dyDescent="0.25">
      <c r="A3460" s="7"/>
    </row>
    <row r="3461" spans="1:1" x14ac:dyDescent="0.25">
      <c r="A3461" s="7"/>
    </row>
    <row r="3462" spans="1:1" x14ac:dyDescent="0.25">
      <c r="A3462" s="7"/>
    </row>
    <row r="3463" spans="1:1" x14ac:dyDescent="0.25">
      <c r="A3463" s="7"/>
    </row>
    <row r="3464" spans="1:1" x14ac:dyDescent="0.25">
      <c r="A3464" s="7"/>
    </row>
    <row r="3465" spans="1:1" x14ac:dyDescent="0.25">
      <c r="A3465" s="7"/>
    </row>
    <row r="3466" spans="1:1" x14ac:dyDescent="0.25">
      <c r="A3466" s="7"/>
    </row>
    <row r="3467" spans="1:1" x14ac:dyDescent="0.25">
      <c r="A3467" s="7"/>
    </row>
    <row r="3468" spans="1:1" x14ac:dyDescent="0.25">
      <c r="A3468" s="7"/>
    </row>
    <row r="3469" spans="1:1" x14ac:dyDescent="0.25">
      <c r="A3469" s="7"/>
    </row>
    <row r="3470" spans="1:1" x14ac:dyDescent="0.25">
      <c r="A3470" s="7"/>
    </row>
    <row r="3471" spans="1:1" x14ac:dyDescent="0.25">
      <c r="A3471" s="7"/>
    </row>
    <row r="3472" spans="1:1" x14ac:dyDescent="0.25">
      <c r="A3472" s="7"/>
    </row>
    <row r="3473" spans="1:1" x14ac:dyDescent="0.25">
      <c r="A3473" s="7"/>
    </row>
    <row r="3474" spans="1:1" x14ac:dyDescent="0.25">
      <c r="A3474" s="7"/>
    </row>
    <row r="3475" spans="1:1" x14ac:dyDescent="0.25">
      <c r="A3475" s="7"/>
    </row>
    <row r="3476" spans="1:1" x14ac:dyDescent="0.25">
      <c r="A3476" s="7"/>
    </row>
    <row r="3477" spans="1:1" x14ac:dyDescent="0.25">
      <c r="A3477" s="7"/>
    </row>
    <row r="3478" spans="1:1" x14ac:dyDescent="0.25">
      <c r="A3478" s="7"/>
    </row>
    <row r="3479" spans="1:1" x14ac:dyDescent="0.25">
      <c r="A3479" s="7"/>
    </row>
    <row r="3480" spans="1:1" x14ac:dyDescent="0.25">
      <c r="A3480" s="7"/>
    </row>
    <row r="3481" spans="1:1" x14ac:dyDescent="0.25">
      <c r="A3481" s="7"/>
    </row>
    <row r="3482" spans="1:1" x14ac:dyDescent="0.25">
      <c r="A3482" s="7"/>
    </row>
    <row r="3483" spans="1:1" x14ac:dyDescent="0.25">
      <c r="A3483" s="7"/>
    </row>
    <row r="3484" spans="1:1" x14ac:dyDescent="0.25">
      <c r="A3484" s="7"/>
    </row>
    <row r="3485" spans="1:1" x14ac:dyDescent="0.25">
      <c r="A3485" s="7"/>
    </row>
    <row r="3486" spans="1:1" x14ac:dyDescent="0.25">
      <c r="A3486" s="7"/>
    </row>
    <row r="3487" spans="1:1" x14ac:dyDescent="0.25">
      <c r="A3487" s="7"/>
    </row>
    <row r="3488" spans="1:1" x14ac:dyDescent="0.25">
      <c r="A3488" s="7"/>
    </row>
    <row r="3489" spans="1:1" x14ac:dyDescent="0.25">
      <c r="A3489" s="7"/>
    </row>
    <row r="3490" spans="1:1" x14ac:dyDescent="0.25">
      <c r="A3490" s="7"/>
    </row>
    <row r="3491" spans="1:1" x14ac:dyDescent="0.25">
      <c r="A3491" s="7"/>
    </row>
    <row r="3492" spans="1:1" x14ac:dyDescent="0.25">
      <c r="A3492" s="7"/>
    </row>
    <row r="3493" spans="1:1" x14ac:dyDescent="0.25">
      <c r="A3493" s="7"/>
    </row>
    <row r="3494" spans="1:1" x14ac:dyDescent="0.25">
      <c r="A3494" s="7"/>
    </row>
    <row r="3495" spans="1:1" x14ac:dyDescent="0.25">
      <c r="A3495" s="7"/>
    </row>
    <row r="3496" spans="1:1" x14ac:dyDescent="0.25">
      <c r="A3496" s="7"/>
    </row>
    <row r="3497" spans="1:1" x14ac:dyDescent="0.25">
      <c r="A3497" s="7"/>
    </row>
    <row r="3498" spans="1:1" x14ac:dyDescent="0.25">
      <c r="A3498" s="7"/>
    </row>
    <row r="3499" spans="1:1" x14ac:dyDescent="0.25">
      <c r="A3499" s="7"/>
    </row>
    <row r="3500" spans="1:1" x14ac:dyDescent="0.25">
      <c r="A3500" s="7"/>
    </row>
    <row r="3501" spans="1:1" x14ac:dyDescent="0.25">
      <c r="A3501" s="7"/>
    </row>
    <row r="3502" spans="1:1" x14ac:dyDescent="0.25">
      <c r="A3502" s="7"/>
    </row>
    <row r="3503" spans="1:1" x14ac:dyDescent="0.25">
      <c r="A3503" s="7"/>
    </row>
    <row r="3504" spans="1:1" x14ac:dyDescent="0.25">
      <c r="A3504" s="7"/>
    </row>
    <row r="3505" spans="1:1" x14ac:dyDescent="0.25">
      <c r="A3505" s="7"/>
    </row>
    <row r="3506" spans="1:1" x14ac:dyDescent="0.25">
      <c r="A3506" s="7"/>
    </row>
    <row r="3507" spans="1:1" x14ac:dyDescent="0.25">
      <c r="A3507" s="7"/>
    </row>
    <row r="3508" spans="1:1" x14ac:dyDescent="0.25">
      <c r="A3508" s="7"/>
    </row>
    <row r="3509" spans="1:1" x14ac:dyDescent="0.25">
      <c r="A3509" s="7"/>
    </row>
    <row r="3510" spans="1:1" x14ac:dyDescent="0.25">
      <c r="A3510" s="7"/>
    </row>
    <row r="3511" spans="1:1" x14ac:dyDescent="0.25">
      <c r="A3511" s="7"/>
    </row>
    <row r="3512" spans="1:1" x14ac:dyDescent="0.25">
      <c r="A3512" s="7"/>
    </row>
    <row r="3513" spans="1:1" x14ac:dyDescent="0.25">
      <c r="A3513" s="7"/>
    </row>
    <row r="3514" spans="1:1" x14ac:dyDescent="0.25">
      <c r="A3514" s="7"/>
    </row>
    <row r="3515" spans="1:1" x14ac:dyDescent="0.25">
      <c r="A3515" s="7"/>
    </row>
    <row r="3516" spans="1:1" x14ac:dyDescent="0.25">
      <c r="A3516" s="7"/>
    </row>
    <row r="3517" spans="1:1" x14ac:dyDescent="0.25">
      <c r="A3517" s="7"/>
    </row>
    <row r="3518" spans="1:1" x14ac:dyDescent="0.25">
      <c r="A3518" s="7"/>
    </row>
    <row r="3519" spans="1:1" x14ac:dyDescent="0.25">
      <c r="A3519" s="7"/>
    </row>
    <row r="3520" spans="1:1" x14ac:dyDescent="0.25">
      <c r="A3520" s="7"/>
    </row>
    <row r="3521" spans="1:1" x14ac:dyDescent="0.25">
      <c r="A3521" s="7"/>
    </row>
    <row r="3522" spans="1:1" x14ac:dyDescent="0.25">
      <c r="A3522" s="7"/>
    </row>
    <row r="3523" spans="1:1" x14ac:dyDescent="0.25">
      <c r="A3523" s="7"/>
    </row>
    <row r="3524" spans="1:1" x14ac:dyDescent="0.25">
      <c r="A3524" s="7"/>
    </row>
    <row r="3525" spans="1:1" x14ac:dyDescent="0.25">
      <c r="A3525" s="7"/>
    </row>
    <row r="3526" spans="1:1" x14ac:dyDescent="0.25">
      <c r="A3526" s="7"/>
    </row>
    <row r="3527" spans="1:1" x14ac:dyDescent="0.25">
      <c r="A3527" s="7"/>
    </row>
    <row r="3528" spans="1:1" x14ac:dyDescent="0.25">
      <c r="A3528" s="7"/>
    </row>
    <row r="3529" spans="1:1" x14ac:dyDescent="0.25">
      <c r="A3529" s="7"/>
    </row>
    <row r="3530" spans="1:1" x14ac:dyDescent="0.25">
      <c r="A3530" s="7"/>
    </row>
    <row r="3531" spans="1:1" x14ac:dyDescent="0.25">
      <c r="A3531" s="7"/>
    </row>
    <row r="3532" spans="1:1" x14ac:dyDescent="0.25">
      <c r="A3532" s="7"/>
    </row>
    <row r="3533" spans="1:1" x14ac:dyDescent="0.25">
      <c r="A3533" s="7"/>
    </row>
    <row r="3534" spans="1:1" x14ac:dyDescent="0.25">
      <c r="A3534" s="7"/>
    </row>
    <row r="3535" spans="1:1" x14ac:dyDescent="0.25">
      <c r="A3535" s="7"/>
    </row>
    <row r="3536" spans="1:1" x14ac:dyDescent="0.25">
      <c r="A3536" s="7"/>
    </row>
    <row r="3537" spans="1:1" x14ac:dyDescent="0.25">
      <c r="A3537" s="7"/>
    </row>
    <row r="3538" spans="1:1" x14ac:dyDescent="0.25">
      <c r="A3538" s="7"/>
    </row>
    <row r="3539" spans="1:1" x14ac:dyDescent="0.25">
      <c r="A3539" s="7"/>
    </row>
    <row r="3540" spans="1:1" x14ac:dyDescent="0.25">
      <c r="A3540" s="7"/>
    </row>
    <row r="3541" spans="1:1" x14ac:dyDescent="0.25">
      <c r="A3541" s="7"/>
    </row>
    <row r="3542" spans="1:1" x14ac:dyDescent="0.25">
      <c r="A3542" s="7"/>
    </row>
    <row r="3543" spans="1:1" x14ac:dyDescent="0.25">
      <c r="A3543" s="7"/>
    </row>
    <row r="3544" spans="1:1" x14ac:dyDescent="0.25">
      <c r="A3544" s="7"/>
    </row>
    <row r="3545" spans="1:1" x14ac:dyDescent="0.25">
      <c r="A3545" s="7"/>
    </row>
    <row r="3546" spans="1:1" x14ac:dyDescent="0.25">
      <c r="A3546" s="7"/>
    </row>
    <row r="3547" spans="1:1" x14ac:dyDescent="0.25">
      <c r="A3547" s="7"/>
    </row>
    <row r="3548" spans="1:1" x14ac:dyDescent="0.25">
      <c r="A3548" s="7"/>
    </row>
    <row r="3549" spans="1:1" x14ac:dyDescent="0.25">
      <c r="A3549" s="7"/>
    </row>
    <row r="3550" spans="1:1" x14ac:dyDescent="0.25">
      <c r="A3550" s="7"/>
    </row>
    <row r="3551" spans="1:1" x14ac:dyDescent="0.25">
      <c r="A3551" s="7"/>
    </row>
    <row r="3552" spans="1:1" x14ac:dyDescent="0.25">
      <c r="A3552" s="7"/>
    </row>
    <row r="3553" spans="1:1" x14ac:dyDescent="0.25">
      <c r="A3553" s="7"/>
    </row>
    <row r="3554" spans="1:1" x14ac:dyDescent="0.25">
      <c r="A3554" s="7"/>
    </row>
    <row r="3555" spans="1:1" x14ac:dyDescent="0.25">
      <c r="A3555" s="7"/>
    </row>
    <row r="3556" spans="1:1" x14ac:dyDescent="0.25">
      <c r="A3556" s="7"/>
    </row>
    <row r="3557" spans="1:1" x14ac:dyDescent="0.25">
      <c r="A3557" s="7"/>
    </row>
    <row r="3558" spans="1:1" x14ac:dyDescent="0.25">
      <c r="A3558" s="7"/>
    </row>
    <row r="3559" spans="1:1" x14ac:dyDescent="0.25">
      <c r="A3559" s="7"/>
    </row>
    <row r="3560" spans="1:1" x14ac:dyDescent="0.25">
      <c r="A3560" s="7"/>
    </row>
    <row r="3561" spans="1:1" x14ac:dyDescent="0.25">
      <c r="A3561" s="7"/>
    </row>
    <row r="3562" spans="1:1" x14ac:dyDescent="0.25">
      <c r="A3562" s="7"/>
    </row>
    <row r="3563" spans="1:1" x14ac:dyDescent="0.25">
      <c r="A3563" s="7"/>
    </row>
    <row r="3564" spans="1:1" x14ac:dyDescent="0.25">
      <c r="A3564" s="7"/>
    </row>
    <row r="3565" spans="1:1" x14ac:dyDescent="0.25">
      <c r="A3565" s="7"/>
    </row>
    <row r="3566" spans="1:1" x14ac:dyDescent="0.25">
      <c r="A3566" s="7"/>
    </row>
    <row r="3567" spans="1:1" x14ac:dyDescent="0.25">
      <c r="A3567" s="7"/>
    </row>
    <row r="3568" spans="1:1" x14ac:dyDescent="0.25">
      <c r="A3568" s="7"/>
    </row>
    <row r="3569" spans="1:1" x14ac:dyDescent="0.25">
      <c r="A3569" s="7"/>
    </row>
    <row r="3570" spans="1:1" x14ac:dyDescent="0.25">
      <c r="A3570" s="7"/>
    </row>
    <row r="3571" spans="1:1" x14ac:dyDescent="0.25">
      <c r="A3571" s="7"/>
    </row>
    <row r="3572" spans="1:1" x14ac:dyDescent="0.25">
      <c r="A3572" s="7"/>
    </row>
    <row r="3573" spans="1:1" x14ac:dyDescent="0.25">
      <c r="A3573" s="7"/>
    </row>
    <row r="3574" spans="1:1" x14ac:dyDescent="0.25">
      <c r="A3574" s="7"/>
    </row>
    <row r="3575" spans="1:1" x14ac:dyDescent="0.25">
      <c r="A3575" s="7"/>
    </row>
    <row r="3576" spans="1:1" x14ac:dyDescent="0.25">
      <c r="A3576" s="7"/>
    </row>
    <row r="3577" spans="1:1" x14ac:dyDescent="0.25">
      <c r="A3577" s="7"/>
    </row>
    <row r="3578" spans="1:1" x14ac:dyDescent="0.25">
      <c r="A3578" s="7"/>
    </row>
    <row r="3579" spans="1:1" x14ac:dyDescent="0.25">
      <c r="A3579" s="7"/>
    </row>
    <row r="3580" spans="1:1" x14ac:dyDescent="0.25">
      <c r="A3580" s="7"/>
    </row>
    <row r="3581" spans="1:1" x14ac:dyDescent="0.25">
      <c r="A3581" s="7"/>
    </row>
    <row r="3582" spans="1:1" x14ac:dyDescent="0.25">
      <c r="A3582" s="7"/>
    </row>
    <row r="3583" spans="1:1" x14ac:dyDescent="0.25">
      <c r="A3583" s="7"/>
    </row>
    <row r="3584" spans="1:1" x14ac:dyDescent="0.25">
      <c r="A3584" s="7"/>
    </row>
    <row r="3585" spans="1:1" x14ac:dyDescent="0.25">
      <c r="A3585" s="7"/>
    </row>
    <row r="3586" spans="1:1" x14ac:dyDescent="0.25">
      <c r="A3586" s="7"/>
    </row>
    <row r="3587" spans="1:1" x14ac:dyDescent="0.25">
      <c r="A3587" s="7"/>
    </row>
    <row r="3588" spans="1:1" x14ac:dyDescent="0.25">
      <c r="A3588" s="7"/>
    </row>
    <row r="3589" spans="1:1" x14ac:dyDescent="0.25">
      <c r="A3589" s="7"/>
    </row>
    <row r="3590" spans="1:1" x14ac:dyDescent="0.25">
      <c r="A3590" s="7"/>
    </row>
    <row r="3591" spans="1:1" x14ac:dyDescent="0.25">
      <c r="A3591" s="7"/>
    </row>
    <row r="3592" spans="1:1" x14ac:dyDescent="0.25">
      <c r="A3592" s="7"/>
    </row>
    <row r="3593" spans="1:1" x14ac:dyDescent="0.25">
      <c r="A3593" s="7"/>
    </row>
    <row r="3594" spans="1:1" x14ac:dyDescent="0.25">
      <c r="A3594" s="7"/>
    </row>
    <row r="3595" spans="1:1" x14ac:dyDescent="0.25">
      <c r="A3595" s="7"/>
    </row>
    <row r="3596" spans="1:1" x14ac:dyDescent="0.25">
      <c r="A3596" s="7"/>
    </row>
    <row r="3597" spans="1:1" x14ac:dyDescent="0.25">
      <c r="A3597" s="7"/>
    </row>
    <row r="3598" spans="1:1" x14ac:dyDescent="0.25">
      <c r="A3598" s="7"/>
    </row>
    <row r="3599" spans="1:1" x14ac:dyDescent="0.25">
      <c r="A3599" s="7"/>
    </row>
    <row r="3600" spans="1:1" x14ac:dyDescent="0.25">
      <c r="A3600" s="7"/>
    </row>
    <row r="3601" spans="1:1" x14ac:dyDescent="0.25">
      <c r="A3601" s="7"/>
    </row>
    <row r="3602" spans="1:1" x14ac:dyDescent="0.25">
      <c r="A3602" s="7"/>
    </row>
    <row r="3603" spans="1:1" x14ac:dyDescent="0.25">
      <c r="A3603" s="7"/>
    </row>
    <row r="3604" spans="1:1" x14ac:dyDescent="0.25">
      <c r="A3604" s="7"/>
    </row>
    <row r="3605" spans="1:1" x14ac:dyDescent="0.25">
      <c r="A3605" s="7"/>
    </row>
    <row r="3606" spans="1:1" x14ac:dyDescent="0.25">
      <c r="A3606" s="7"/>
    </row>
    <row r="3607" spans="1:1" x14ac:dyDescent="0.25">
      <c r="A3607" s="7"/>
    </row>
    <row r="3608" spans="1:1" x14ac:dyDescent="0.25">
      <c r="A3608" s="7"/>
    </row>
    <row r="3609" spans="1:1" x14ac:dyDescent="0.25">
      <c r="A3609" s="7"/>
    </row>
    <row r="3610" spans="1:1" x14ac:dyDescent="0.25">
      <c r="A3610" s="7"/>
    </row>
    <row r="3611" spans="1:1" x14ac:dyDescent="0.25">
      <c r="A3611" s="7"/>
    </row>
    <row r="3612" spans="1:1" x14ac:dyDescent="0.25">
      <c r="A3612" s="7"/>
    </row>
    <row r="3613" spans="1:1" x14ac:dyDescent="0.25">
      <c r="A3613" s="7"/>
    </row>
    <row r="3614" spans="1:1" x14ac:dyDescent="0.25">
      <c r="A3614" s="7"/>
    </row>
    <row r="3615" spans="1:1" x14ac:dyDescent="0.25">
      <c r="A3615" s="7"/>
    </row>
    <row r="3616" spans="1:1" x14ac:dyDescent="0.25">
      <c r="A3616" s="7"/>
    </row>
    <row r="3617" spans="1:1" x14ac:dyDescent="0.25">
      <c r="A3617" s="7"/>
    </row>
    <row r="3618" spans="1:1" x14ac:dyDescent="0.25">
      <c r="A3618" s="7"/>
    </row>
    <row r="3619" spans="1:1" x14ac:dyDescent="0.25">
      <c r="A3619" s="7"/>
    </row>
    <row r="3620" spans="1:1" x14ac:dyDescent="0.25">
      <c r="A3620" s="7"/>
    </row>
    <row r="3621" spans="1:1" x14ac:dyDescent="0.25">
      <c r="A3621" s="7"/>
    </row>
    <row r="3622" spans="1:1" x14ac:dyDescent="0.25">
      <c r="A3622" s="7"/>
    </row>
    <row r="3623" spans="1:1" x14ac:dyDescent="0.25">
      <c r="A3623" s="7"/>
    </row>
    <row r="3624" spans="1:1" x14ac:dyDescent="0.25">
      <c r="A3624" s="7"/>
    </row>
    <row r="3625" spans="1:1" x14ac:dyDescent="0.25">
      <c r="A3625" s="7"/>
    </row>
    <row r="3626" spans="1:1" x14ac:dyDescent="0.25">
      <c r="A3626" s="7"/>
    </row>
    <row r="3627" spans="1:1" x14ac:dyDescent="0.25">
      <c r="A3627" s="7"/>
    </row>
    <row r="3628" spans="1:1" x14ac:dyDescent="0.25">
      <c r="A3628" s="7"/>
    </row>
    <row r="3629" spans="1:1" x14ac:dyDescent="0.25">
      <c r="A3629" s="7"/>
    </row>
    <row r="3630" spans="1:1" x14ac:dyDescent="0.25">
      <c r="A3630" s="7"/>
    </row>
    <row r="3631" spans="1:1" x14ac:dyDescent="0.25">
      <c r="A3631" s="7"/>
    </row>
    <row r="3632" spans="1:1" x14ac:dyDescent="0.25">
      <c r="A3632" s="7"/>
    </row>
    <row r="3633" spans="1:1" x14ac:dyDescent="0.25">
      <c r="A3633" s="7"/>
    </row>
    <row r="3634" spans="1:1" x14ac:dyDescent="0.25">
      <c r="A3634" s="7"/>
    </row>
    <row r="3635" spans="1:1" x14ac:dyDescent="0.25">
      <c r="A3635" s="7"/>
    </row>
    <row r="3636" spans="1:1" x14ac:dyDescent="0.25">
      <c r="A3636" s="7"/>
    </row>
    <row r="3637" spans="1:1" x14ac:dyDescent="0.25">
      <c r="A3637" s="7"/>
    </row>
    <row r="3638" spans="1:1" x14ac:dyDescent="0.25">
      <c r="A3638" s="7"/>
    </row>
    <row r="3639" spans="1:1" x14ac:dyDescent="0.25">
      <c r="A3639" s="7"/>
    </row>
    <row r="3640" spans="1:1" x14ac:dyDescent="0.25">
      <c r="A3640" s="7"/>
    </row>
    <row r="3641" spans="1:1" x14ac:dyDescent="0.25">
      <c r="A3641" s="7"/>
    </row>
    <row r="3642" spans="1:1" x14ac:dyDescent="0.25">
      <c r="A3642" s="7"/>
    </row>
    <row r="3643" spans="1:1" x14ac:dyDescent="0.25">
      <c r="A3643" s="7"/>
    </row>
    <row r="3644" spans="1:1" x14ac:dyDescent="0.25">
      <c r="A3644" s="7"/>
    </row>
    <row r="3645" spans="1:1" x14ac:dyDescent="0.25">
      <c r="A3645" s="7"/>
    </row>
    <row r="3646" spans="1:1" x14ac:dyDescent="0.25">
      <c r="A3646" s="7"/>
    </row>
    <row r="3647" spans="1:1" x14ac:dyDescent="0.25">
      <c r="A3647" s="7"/>
    </row>
    <row r="3648" spans="1:1" x14ac:dyDescent="0.25">
      <c r="A3648" s="7"/>
    </row>
    <row r="3649" spans="1:1" x14ac:dyDescent="0.25">
      <c r="A3649" s="7"/>
    </row>
    <row r="3650" spans="1:1" x14ac:dyDescent="0.25">
      <c r="A3650" s="7"/>
    </row>
    <row r="3651" spans="1:1" x14ac:dyDescent="0.25">
      <c r="A3651" s="7"/>
    </row>
    <row r="3652" spans="1:1" x14ac:dyDescent="0.25">
      <c r="A3652" s="7"/>
    </row>
    <row r="3653" spans="1:1" x14ac:dyDescent="0.25">
      <c r="A3653" s="7"/>
    </row>
    <row r="3654" spans="1:1" x14ac:dyDescent="0.25">
      <c r="A3654" s="7"/>
    </row>
    <row r="3655" spans="1:1" x14ac:dyDescent="0.25">
      <c r="A3655" s="7"/>
    </row>
    <row r="3656" spans="1:1" x14ac:dyDescent="0.25">
      <c r="A3656" s="7"/>
    </row>
    <row r="3657" spans="1:1" x14ac:dyDescent="0.25">
      <c r="A3657" s="7"/>
    </row>
    <row r="3658" spans="1:1" x14ac:dyDescent="0.25">
      <c r="A3658" s="7"/>
    </row>
    <row r="3659" spans="1:1" x14ac:dyDescent="0.25">
      <c r="A3659" s="7"/>
    </row>
    <row r="3660" spans="1:1" x14ac:dyDescent="0.25">
      <c r="A3660" s="7"/>
    </row>
    <row r="3661" spans="1:1" x14ac:dyDescent="0.25">
      <c r="A3661" s="7"/>
    </row>
    <row r="3662" spans="1:1" x14ac:dyDescent="0.25">
      <c r="A3662" s="7"/>
    </row>
    <row r="3663" spans="1:1" x14ac:dyDescent="0.25">
      <c r="A3663" s="7"/>
    </row>
    <row r="3664" spans="1:1" x14ac:dyDescent="0.25">
      <c r="A3664" s="7"/>
    </row>
    <row r="3665" spans="1:1" x14ac:dyDescent="0.25">
      <c r="A3665" s="7"/>
    </row>
    <row r="3666" spans="1:1" x14ac:dyDescent="0.25">
      <c r="A3666" s="7"/>
    </row>
    <row r="3667" spans="1:1" x14ac:dyDescent="0.25">
      <c r="A3667" s="7"/>
    </row>
    <row r="3668" spans="1:1" x14ac:dyDescent="0.25">
      <c r="A3668" s="7"/>
    </row>
    <row r="3669" spans="1:1" x14ac:dyDescent="0.25">
      <c r="A3669" s="7"/>
    </row>
    <row r="3670" spans="1:1" x14ac:dyDescent="0.25">
      <c r="A3670" s="7"/>
    </row>
    <row r="3671" spans="1:1" x14ac:dyDescent="0.25">
      <c r="A3671" s="7"/>
    </row>
    <row r="3672" spans="1:1" x14ac:dyDescent="0.25">
      <c r="A3672" s="7"/>
    </row>
    <row r="3673" spans="1:1" x14ac:dyDescent="0.25">
      <c r="A3673" s="7"/>
    </row>
    <row r="3674" spans="1:1" x14ac:dyDescent="0.25">
      <c r="A3674" s="7"/>
    </row>
    <row r="3675" spans="1:1" x14ac:dyDescent="0.25">
      <c r="A3675" s="7"/>
    </row>
    <row r="3676" spans="1:1" x14ac:dyDescent="0.25">
      <c r="A3676" s="7"/>
    </row>
    <row r="3677" spans="1:1" x14ac:dyDescent="0.25">
      <c r="A3677" s="7"/>
    </row>
    <row r="3678" spans="1:1" x14ac:dyDescent="0.25">
      <c r="A3678" s="7"/>
    </row>
    <row r="3679" spans="1:1" x14ac:dyDescent="0.25">
      <c r="A3679" s="7"/>
    </row>
    <row r="3680" spans="1:1" x14ac:dyDescent="0.25">
      <c r="A3680" s="7"/>
    </row>
    <row r="3681" spans="1:1" x14ac:dyDescent="0.25">
      <c r="A3681" s="7"/>
    </row>
    <row r="3682" spans="1:1" x14ac:dyDescent="0.25">
      <c r="A3682" s="7"/>
    </row>
    <row r="3683" spans="1:1" x14ac:dyDescent="0.25">
      <c r="A3683" s="7"/>
    </row>
    <row r="3684" spans="1:1" x14ac:dyDescent="0.25">
      <c r="A3684" s="7"/>
    </row>
    <row r="3685" spans="1:1" x14ac:dyDescent="0.25">
      <c r="A3685" s="7"/>
    </row>
    <row r="3686" spans="1:1" x14ac:dyDescent="0.25">
      <c r="A3686" s="7"/>
    </row>
    <row r="3687" spans="1:1" x14ac:dyDescent="0.25">
      <c r="A3687" s="7"/>
    </row>
    <row r="3688" spans="1:1" x14ac:dyDescent="0.25">
      <c r="A3688" s="7"/>
    </row>
    <row r="3689" spans="1:1" x14ac:dyDescent="0.25">
      <c r="A3689" s="7"/>
    </row>
    <row r="3690" spans="1:1" x14ac:dyDescent="0.25">
      <c r="A3690" s="7"/>
    </row>
    <row r="3691" spans="1:1" x14ac:dyDescent="0.25">
      <c r="A3691" s="7"/>
    </row>
    <row r="3692" spans="1:1" x14ac:dyDescent="0.25">
      <c r="A3692" s="7"/>
    </row>
    <row r="3693" spans="1:1" x14ac:dyDescent="0.25">
      <c r="A3693" s="7"/>
    </row>
    <row r="3694" spans="1:1" x14ac:dyDescent="0.25">
      <c r="A3694" s="7"/>
    </row>
    <row r="3695" spans="1:1" x14ac:dyDescent="0.25">
      <c r="A3695" s="7"/>
    </row>
    <row r="3696" spans="1:1" x14ac:dyDescent="0.25">
      <c r="A3696" s="7"/>
    </row>
    <row r="3697" spans="1:1" x14ac:dyDescent="0.25">
      <c r="A3697" s="7"/>
    </row>
    <row r="3698" spans="1:1" x14ac:dyDescent="0.25">
      <c r="A3698" s="7"/>
    </row>
    <row r="3699" spans="1:1" x14ac:dyDescent="0.25">
      <c r="A3699" s="7"/>
    </row>
    <row r="3700" spans="1:1" x14ac:dyDescent="0.25">
      <c r="A3700" s="7"/>
    </row>
    <row r="3701" spans="1:1" x14ac:dyDescent="0.25">
      <c r="A3701" s="7"/>
    </row>
    <row r="3702" spans="1:1" x14ac:dyDescent="0.25">
      <c r="A3702" s="7"/>
    </row>
    <row r="3703" spans="1:1" x14ac:dyDescent="0.25">
      <c r="A3703" s="7"/>
    </row>
    <row r="3704" spans="1:1" x14ac:dyDescent="0.25">
      <c r="A3704" s="7"/>
    </row>
    <row r="3705" spans="1:1" x14ac:dyDescent="0.25">
      <c r="A3705" s="7"/>
    </row>
    <row r="3706" spans="1:1" x14ac:dyDescent="0.25">
      <c r="A3706" s="7"/>
    </row>
    <row r="3707" spans="1:1" x14ac:dyDescent="0.25">
      <c r="A3707" s="7"/>
    </row>
    <row r="3708" spans="1:1" x14ac:dyDescent="0.25">
      <c r="A3708" s="7"/>
    </row>
    <row r="3709" spans="1:1" x14ac:dyDescent="0.25">
      <c r="A3709" s="7"/>
    </row>
    <row r="3710" spans="1:1" x14ac:dyDescent="0.25">
      <c r="A3710" s="7"/>
    </row>
    <row r="3711" spans="1:1" x14ac:dyDescent="0.25">
      <c r="A3711" s="7"/>
    </row>
    <row r="3712" spans="1:1" x14ac:dyDescent="0.25">
      <c r="A3712" s="7"/>
    </row>
    <row r="3713" spans="1:1" x14ac:dyDescent="0.25">
      <c r="A3713" s="7"/>
    </row>
    <row r="3714" spans="1:1" x14ac:dyDescent="0.25">
      <c r="A3714" s="7"/>
    </row>
    <row r="3715" spans="1:1" x14ac:dyDescent="0.25">
      <c r="A3715" s="7"/>
    </row>
    <row r="3716" spans="1:1" x14ac:dyDescent="0.25">
      <c r="A3716" s="7"/>
    </row>
    <row r="3717" spans="1:1" x14ac:dyDescent="0.25">
      <c r="A3717" s="7"/>
    </row>
    <row r="3718" spans="1:1" x14ac:dyDescent="0.25">
      <c r="A3718" s="7"/>
    </row>
    <row r="3719" spans="1:1" x14ac:dyDescent="0.25">
      <c r="A3719" s="7"/>
    </row>
    <row r="3720" spans="1:1" x14ac:dyDescent="0.25">
      <c r="A3720" s="7"/>
    </row>
    <row r="3721" spans="1:1" x14ac:dyDescent="0.25">
      <c r="A3721" s="7"/>
    </row>
    <row r="3722" spans="1:1" x14ac:dyDescent="0.25">
      <c r="A3722" s="7"/>
    </row>
    <row r="3723" spans="1:1" x14ac:dyDescent="0.25">
      <c r="A3723" s="7"/>
    </row>
    <row r="3724" spans="1:1" x14ac:dyDescent="0.25">
      <c r="A3724" s="7"/>
    </row>
    <row r="3725" spans="1:1" x14ac:dyDescent="0.25">
      <c r="A3725" s="7"/>
    </row>
    <row r="3726" spans="1:1" x14ac:dyDescent="0.25">
      <c r="A3726" s="7"/>
    </row>
    <row r="3727" spans="1:1" x14ac:dyDescent="0.25">
      <c r="A3727" s="7"/>
    </row>
    <row r="3728" spans="1:1" x14ac:dyDescent="0.25">
      <c r="A3728" s="7"/>
    </row>
    <row r="3729" spans="1:1" x14ac:dyDescent="0.25">
      <c r="A3729" s="7"/>
    </row>
    <row r="3730" spans="1:1" x14ac:dyDescent="0.25">
      <c r="A3730" s="7"/>
    </row>
    <row r="3731" spans="1:1" x14ac:dyDescent="0.25">
      <c r="A3731" s="7"/>
    </row>
    <row r="3732" spans="1:1" x14ac:dyDescent="0.25">
      <c r="A3732" s="7"/>
    </row>
    <row r="3733" spans="1:1" x14ac:dyDescent="0.25">
      <c r="A3733" s="7"/>
    </row>
    <row r="3734" spans="1:1" x14ac:dyDescent="0.25">
      <c r="A3734" s="7"/>
    </row>
    <row r="3735" spans="1:1" x14ac:dyDescent="0.25">
      <c r="A3735" s="7"/>
    </row>
    <row r="3736" spans="1:1" x14ac:dyDescent="0.25">
      <c r="A3736" s="7"/>
    </row>
    <row r="3737" spans="1:1" x14ac:dyDescent="0.25">
      <c r="A3737" s="7"/>
    </row>
    <row r="3738" spans="1:1" x14ac:dyDescent="0.25">
      <c r="A3738" s="7"/>
    </row>
    <row r="3739" spans="1:1" x14ac:dyDescent="0.25">
      <c r="A3739" s="7"/>
    </row>
    <row r="3740" spans="1:1" x14ac:dyDescent="0.25">
      <c r="A3740" s="7"/>
    </row>
    <row r="3741" spans="1:1" x14ac:dyDescent="0.25">
      <c r="A3741" s="7"/>
    </row>
    <row r="3742" spans="1:1" x14ac:dyDescent="0.25">
      <c r="A3742" s="7"/>
    </row>
    <row r="3743" spans="1:1" x14ac:dyDescent="0.25">
      <c r="A3743" s="7"/>
    </row>
    <row r="3744" spans="1:1" x14ac:dyDescent="0.25">
      <c r="A3744" s="7"/>
    </row>
    <row r="3745" spans="1:1" x14ac:dyDescent="0.25">
      <c r="A3745" s="7"/>
    </row>
    <row r="3746" spans="1:1" x14ac:dyDescent="0.25">
      <c r="A3746" s="7"/>
    </row>
    <row r="3747" spans="1:1" x14ac:dyDescent="0.25">
      <c r="A3747" s="7"/>
    </row>
    <row r="3748" spans="1:1" x14ac:dyDescent="0.25">
      <c r="A3748" s="7"/>
    </row>
    <row r="3749" spans="1:1" x14ac:dyDescent="0.25">
      <c r="A3749" s="7"/>
    </row>
    <row r="3750" spans="1:1" x14ac:dyDescent="0.25">
      <c r="A3750" s="7"/>
    </row>
    <row r="3751" spans="1:1" x14ac:dyDescent="0.25">
      <c r="A3751" s="7"/>
    </row>
    <row r="3752" spans="1:1" x14ac:dyDescent="0.25">
      <c r="A3752" s="7"/>
    </row>
    <row r="3753" spans="1:1" x14ac:dyDescent="0.25">
      <c r="A3753" s="7"/>
    </row>
    <row r="3754" spans="1:1" x14ac:dyDescent="0.25">
      <c r="A3754" s="7"/>
    </row>
    <row r="3755" spans="1:1" x14ac:dyDescent="0.25">
      <c r="A3755" s="7"/>
    </row>
    <row r="3756" spans="1:1" x14ac:dyDescent="0.25">
      <c r="A3756" s="7"/>
    </row>
    <row r="3757" spans="1:1" x14ac:dyDescent="0.25">
      <c r="A3757" s="7"/>
    </row>
    <row r="3758" spans="1:1" x14ac:dyDescent="0.25">
      <c r="A3758" s="7"/>
    </row>
    <row r="3759" spans="1:1" x14ac:dyDescent="0.25">
      <c r="A3759" s="7"/>
    </row>
    <row r="3760" spans="1:1" x14ac:dyDescent="0.25">
      <c r="A3760" s="7"/>
    </row>
    <row r="3761" spans="1:1" x14ac:dyDescent="0.25">
      <c r="A3761" s="7"/>
    </row>
    <row r="3762" spans="1:1" x14ac:dyDescent="0.25">
      <c r="A3762" s="7"/>
    </row>
    <row r="3763" spans="1:1" x14ac:dyDescent="0.25">
      <c r="A3763" s="7"/>
    </row>
    <row r="3764" spans="1:1" x14ac:dyDescent="0.25">
      <c r="A3764" s="7"/>
    </row>
    <row r="3765" spans="1:1" x14ac:dyDescent="0.25">
      <c r="A3765" s="7"/>
    </row>
    <row r="3766" spans="1:1" x14ac:dyDescent="0.25">
      <c r="A3766" s="7"/>
    </row>
    <row r="3767" spans="1:1" x14ac:dyDescent="0.25">
      <c r="A3767" s="7"/>
    </row>
    <row r="3768" spans="1:1" x14ac:dyDescent="0.25">
      <c r="A3768" s="7"/>
    </row>
    <row r="3769" spans="1:1" x14ac:dyDescent="0.25">
      <c r="A3769" s="7"/>
    </row>
    <row r="3770" spans="1:1" x14ac:dyDescent="0.25">
      <c r="A3770" s="7"/>
    </row>
    <row r="3771" spans="1:1" x14ac:dyDescent="0.25">
      <c r="A3771" s="7"/>
    </row>
    <row r="3772" spans="1:1" x14ac:dyDescent="0.25">
      <c r="A3772" s="7"/>
    </row>
    <row r="3773" spans="1:1" x14ac:dyDescent="0.25">
      <c r="A3773" s="7"/>
    </row>
    <row r="3774" spans="1:1" x14ac:dyDescent="0.25">
      <c r="A3774" s="7"/>
    </row>
    <row r="3775" spans="1:1" x14ac:dyDescent="0.25">
      <c r="A3775" s="7"/>
    </row>
    <row r="3776" spans="1:1" x14ac:dyDescent="0.25">
      <c r="A3776" s="7"/>
    </row>
    <row r="3777" spans="1:1" x14ac:dyDescent="0.25">
      <c r="A3777" s="7"/>
    </row>
    <row r="3778" spans="1:1" x14ac:dyDescent="0.25">
      <c r="A3778" s="7"/>
    </row>
    <row r="3779" spans="1:1" x14ac:dyDescent="0.25">
      <c r="A3779" s="7"/>
    </row>
    <row r="3780" spans="1:1" x14ac:dyDescent="0.25">
      <c r="A3780" s="7"/>
    </row>
    <row r="3781" spans="1:1" x14ac:dyDescent="0.25">
      <c r="A3781" s="7"/>
    </row>
    <row r="3782" spans="1:1" x14ac:dyDescent="0.25">
      <c r="A3782" s="7"/>
    </row>
    <row r="3783" spans="1:1" x14ac:dyDescent="0.25">
      <c r="A3783" s="7"/>
    </row>
    <row r="3784" spans="1:1" x14ac:dyDescent="0.25">
      <c r="A3784" s="7"/>
    </row>
    <row r="3785" spans="1:1" x14ac:dyDescent="0.25">
      <c r="A3785" s="7"/>
    </row>
    <row r="3786" spans="1:1" x14ac:dyDescent="0.25">
      <c r="A3786" s="7"/>
    </row>
    <row r="3787" spans="1:1" x14ac:dyDescent="0.25">
      <c r="A3787" s="7"/>
    </row>
    <row r="3788" spans="1:1" x14ac:dyDescent="0.25">
      <c r="A3788" s="7"/>
    </row>
    <row r="3789" spans="1:1" x14ac:dyDescent="0.25">
      <c r="A3789" s="7"/>
    </row>
    <row r="3790" spans="1:1" x14ac:dyDescent="0.25">
      <c r="A3790" s="7"/>
    </row>
    <row r="3791" spans="1:1" x14ac:dyDescent="0.25">
      <c r="A3791" s="7"/>
    </row>
    <row r="3792" spans="1:1" x14ac:dyDescent="0.25">
      <c r="A3792" s="7"/>
    </row>
    <row r="3793" spans="1:1" x14ac:dyDescent="0.25">
      <c r="A3793" s="7"/>
    </row>
    <row r="3794" spans="1:1" x14ac:dyDescent="0.25">
      <c r="A3794" s="7"/>
    </row>
    <row r="3795" spans="1:1" x14ac:dyDescent="0.25">
      <c r="A3795" s="7"/>
    </row>
    <row r="3796" spans="1:1" x14ac:dyDescent="0.25">
      <c r="A3796" s="7"/>
    </row>
    <row r="3797" spans="1:1" x14ac:dyDescent="0.25">
      <c r="A3797" s="7"/>
    </row>
    <row r="3798" spans="1:1" x14ac:dyDescent="0.25">
      <c r="A3798" s="7"/>
    </row>
    <row r="3799" spans="1:1" x14ac:dyDescent="0.25">
      <c r="A3799" s="7"/>
    </row>
    <row r="3800" spans="1:1" x14ac:dyDescent="0.25">
      <c r="A3800" s="7"/>
    </row>
    <row r="3801" spans="1:1" x14ac:dyDescent="0.25">
      <c r="A3801" s="7"/>
    </row>
    <row r="3802" spans="1:1" x14ac:dyDescent="0.25">
      <c r="A3802" s="7"/>
    </row>
    <row r="3803" spans="1:1" x14ac:dyDescent="0.25">
      <c r="A3803" s="7"/>
    </row>
    <row r="3804" spans="1:1" x14ac:dyDescent="0.25">
      <c r="A3804" s="7"/>
    </row>
    <row r="3805" spans="1:1" x14ac:dyDescent="0.25">
      <c r="A3805" s="7"/>
    </row>
    <row r="3806" spans="1:1" x14ac:dyDescent="0.25">
      <c r="A3806" s="7"/>
    </row>
    <row r="3807" spans="1:1" x14ac:dyDescent="0.25">
      <c r="A3807" s="7"/>
    </row>
    <row r="3808" spans="1:1" x14ac:dyDescent="0.25">
      <c r="A3808" s="7"/>
    </row>
    <row r="3809" spans="1:1" x14ac:dyDescent="0.25">
      <c r="A3809" s="7"/>
    </row>
    <row r="3810" spans="1:1" x14ac:dyDescent="0.25">
      <c r="A3810" s="7"/>
    </row>
    <row r="3811" spans="1:1" x14ac:dyDescent="0.25">
      <c r="A3811" s="7"/>
    </row>
    <row r="3812" spans="1:1" x14ac:dyDescent="0.25">
      <c r="A3812" s="7"/>
    </row>
    <row r="3813" spans="1:1" x14ac:dyDescent="0.25">
      <c r="A3813" s="7"/>
    </row>
    <row r="3814" spans="1:1" x14ac:dyDescent="0.25">
      <c r="A3814" s="7"/>
    </row>
    <row r="3815" spans="1:1" x14ac:dyDescent="0.25">
      <c r="A3815" s="7"/>
    </row>
    <row r="3816" spans="1:1" x14ac:dyDescent="0.25">
      <c r="A3816" s="7"/>
    </row>
    <row r="3817" spans="1:1" x14ac:dyDescent="0.25">
      <c r="A3817" s="7"/>
    </row>
    <row r="3818" spans="1:1" x14ac:dyDescent="0.25">
      <c r="A3818" s="7"/>
    </row>
    <row r="3819" spans="1:1" x14ac:dyDescent="0.25">
      <c r="A3819" s="7"/>
    </row>
    <row r="3820" spans="1:1" x14ac:dyDescent="0.25">
      <c r="A3820" s="7"/>
    </row>
    <row r="3821" spans="1:1" x14ac:dyDescent="0.25">
      <c r="A3821" s="7"/>
    </row>
    <row r="3822" spans="1:1" x14ac:dyDescent="0.25">
      <c r="A3822" s="7"/>
    </row>
    <row r="3823" spans="1:1" x14ac:dyDescent="0.25">
      <c r="A3823" s="7"/>
    </row>
    <row r="3824" spans="1:1" x14ac:dyDescent="0.25">
      <c r="A3824" s="7"/>
    </row>
    <row r="3825" spans="1:1" x14ac:dyDescent="0.25">
      <c r="A3825" s="7"/>
    </row>
    <row r="3826" spans="1:1" x14ac:dyDescent="0.25">
      <c r="A3826" s="7"/>
    </row>
    <row r="3827" spans="1:1" x14ac:dyDescent="0.25">
      <c r="A3827" s="7"/>
    </row>
    <row r="3828" spans="1:1" x14ac:dyDescent="0.25">
      <c r="A3828" s="7"/>
    </row>
    <row r="3829" spans="1:1" x14ac:dyDescent="0.25">
      <c r="A3829" s="7"/>
    </row>
    <row r="3830" spans="1:1" x14ac:dyDescent="0.25">
      <c r="A3830" s="7"/>
    </row>
    <row r="3831" spans="1:1" x14ac:dyDescent="0.25">
      <c r="A3831" s="7"/>
    </row>
    <row r="3832" spans="1:1" x14ac:dyDescent="0.25">
      <c r="A3832" s="7"/>
    </row>
    <row r="3833" spans="1:1" x14ac:dyDescent="0.25">
      <c r="A3833" s="7"/>
    </row>
    <row r="3834" spans="1:1" x14ac:dyDescent="0.25">
      <c r="A3834" s="7"/>
    </row>
    <row r="3835" spans="1:1" x14ac:dyDescent="0.25">
      <c r="A3835" s="7"/>
    </row>
    <row r="3836" spans="1:1" x14ac:dyDescent="0.25">
      <c r="A3836" s="7"/>
    </row>
    <row r="3837" spans="1:1" x14ac:dyDescent="0.25">
      <c r="A3837" s="7"/>
    </row>
    <row r="3838" spans="1:1" x14ac:dyDescent="0.25">
      <c r="A3838" s="7"/>
    </row>
    <row r="3839" spans="1:1" x14ac:dyDescent="0.25">
      <c r="A3839" s="7"/>
    </row>
    <row r="3840" spans="1:1" x14ac:dyDescent="0.25">
      <c r="A3840" s="7"/>
    </row>
    <row r="3841" spans="1:1" x14ac:dyDescent="0.25">
      <c r="A3841" s="7"/>
    </row>
    <row r="3842" spans="1:1" x14ac:dyDescent="0.25">
      <c r="A3842" s="7"/>
    </row>
    <row r="3843" spans="1:1" x14ac:dyDescent="0.25">
      <c r="A3843" s="7"/>
    </row>
    <row r="3844" spans="1:1" x14ac:dyDescent="0.25">
      <c r="A3844" s="7"/>
    </row>
    <row r="3845" spans="1:1" x14ac:dyDescent="0.25">
      <c r="A3845" s="7"/>
    </row>
    <row r="3846" spans="1:1" x14ac:dyDescent="0.25">
      <c r="A3846" s="7"/>
    </row>
    <row r="3847" spans="1:1" x14ac:dyDescent="0.25">
      <c r="A3847" s="7"/>
    </row>
    <row r="3848" spans="1:1" x14ac:dyDescent="0.25">
      <c r="A3848" s="7"/>
    </row>
    <row r="3849" spans="1:1" x14ac:dyDescent="0.25">
      <c r="A3849" s="7"/>
    </row>
    <row r="3850" spans="1:1" x14ac:dyDescent="0.25">
      <c r="A3850" s="7"/>
    </row>
    <row r="3851" spans="1:1" x14ac:dyDescent="0.25">
      <c r="A3851" s="7"/>
    </row>
    <row r="3852" spans="1:1" x14ac:dyDescent="0.25">
      <c r="A3852" s="7"/>
    </row>
    <row r="3853" spans="1:1" x14ac:dyDescent="0.25">
      <c r="A3853" s="7"/>
    </row>
    <row r="3854" spans="1:1" x14ac:dyDescent="0.25">
      <c r="A3854" s="7"/>
    </row>
    <row r="3855" spans="1:1" x14ac:dyDescent="0.25">
      <c r="A3855" s="7"/>
    </row>
    <row r="3856" spans="1:1" x14ac:dyDescent="0.25">
      <c r="A3856" s="7"/>
    </row>
    <row r="3857" spans="1:1" x14ac:dyDescent="0.25">
      <c r="A3857" s="7"/>
    </row>
    <row r="3858" spans="1:1" x14ac:dyDescent="0.25">
      <c r="A3858" s="7"/>
    </row>
    <row r="3859" spans="1:1" x14ac:dyDescent="0.25">
      <c r="A3859" s="7"/>
    </row>
    <row r="3860" spans="1:1" x14ac:dyDescent="0.25">
      <c r="A3860" s="7"/>
    </row>
    <row r="3861" spans="1:1" x14ac:dyDescent="0.25">
      <c r="A3861" s="7"/>
    </row>
    <row r="3862" spans="1:1" x14ac:dyDescent="0.25">
      <c r="A3862" s="7"/>
    </row>
    <row r="3863" spans="1:1" x14ac:dyDescent="0.25">
      <c r="A3863" s="7"/>
    </row>
    <row r="3864" spans="1:1" x14ac:dyDescent="0.25">
      <c r="A3864" s="7"/>
    </row>
    <row r="3865" spans="1:1" x14ac:dyDescent="0.25">
      <c r="A3865" s="7"/>
    </row>
    <row r="3866" spans="1:1" x14ac:dyDescent="0.25">
      <c r="A3866" s="7"/>
    </row>
    <row r="3867" spans="1:1" x14ac:dyDescent="0.25">
      <c r="A3867" s="7"/>
    </row>
    <row r="3868" spans="1:1" x14ac:dyDescent="0.25">
      <c r="A3868" s="7"/>
    </row>
    <row r="3869" spans="1:1" x14ac:dyDescent="0.25">
      <c r="A3869" s="7"/>
    </row>
    <row r="3870" spans="1:1" x14ac:dyDescent="0.25">
      <c r="A3870" s="7"/>
    </row>
    <row r="3871" spans="1:1" x14ac:dyDescent="0.25">
      <c r="A3871" s="7"/>
    </row>
    <row r="3872" spans="1:1" x14ac:dyDescent="0.25">
      <c r="A3872" s="7"/>
    </row>
    <row r="3873" spans="1:1" x14ac:dyDescent="0.25">
      <c r="A3873" s="7"/>
    </row>
    <row r="3874" spans="1:1" x14ac:dyDescent="0.25">
      <c r="A3874" s="7"/>
    </row>
    <row r="3875" spans="1:1" x14ac:dyDescent="0.25">
      <c r="A3875" s="7"/>
    </row>
    <row r="3876" spans="1:1" x14ac:dyDescent="0.25">
      <c r="A3876" s="7"/>
    </row>
    <row r="3877" spans="1:1" x14ac:dyDescent="0.25">
      <c r="A3877" s="7"/>
    </row>
    <row r="3878" spans="1:1" x14ac:dyDescent="0.25">
      <c r="A3878" s="7"/>
    </row>
    <row r="3879" spans="1:1" x14ac:dyDescent="0.25">
      <c r="A3879" s="7"/>
    </row>
    <row r="3880" spans="1:1" x14ac:dyDescent="0.25">
      <c r="A3880" s="7"/>
    </row>
    <row r="3881" spans="1:1" x14ac:dyDescent="0.25">
      <c r="A3881" s="7"/>
    </row>
    <row r="3882" spans="1:1" x14ac:dyDescent="0.25">
      <c r="A3882" s="7"/>
    </row>
    <row r="3883" spans="1:1" x14ac:dyDescent="0.25">
      <c r="A3883" s="7"/>
    </row>
    <row r="3884" spans="1:1" x14ac:dyDescent="0.25">
      <c r="A3884" s="7"/>
    </row>
    <row r="3885" spans="1:1" x14ac:dyDescent="0.25">
      <c r="A3885" s="7"/>
    </row>
    <row r="3886" spans="1:1" x14ac:dyDescent="0.25">
      <c r="A3886" s="7"/>
    </row>
    <row r="3887" spans="1:1" x14ac:dyDescent="0.25">
      <c r="A3887" s="7"/>
    </row>
    <row r="3888" spans="1:1" x14ac:dyDescent="0.25">
      <c r="A3888" s="7"/>
    </row>
    <row r="3889" spans="1:1" x14ac:dyDescent="0.25">
      <c r="A3889" s="7"/>
    </row>
    <row r="3890" spans="1:1" x14ac:dyDescent="0.25">
      <c r="A3890" s="7"/>
    </row>
    <row r="3891" spans="1:1" x14ac:dyDescent="0.25">
      <c r="A3891" s="7"/>
    </row>
    <row r="3892" spans="1:1" x14ac:dyDescent="0.25">
      <c r="A3892" s="7"/>
    </row>
    <row r="3893" spans="1:1" x14ac:dyDescent="0.25">
      <c r="A3893" s="7"/>
    </row>
    <row r="3894" spans="1:1" x14ac:dyDescent="0.25">
      <c r="A3894" s="7"/>
    </row>
    <row r="3895" spans="1:1" x14ac:dyDescent="0.25">
      <c r="A3895" s="7"/>
    </row>
    <row r="3896" spans="1:1" x14ac:dyDescent="0.25">
      <c r="A3896" s="7"/>
    </row>
    <row r="3897" spans="1:1" x14ac:dyDescent="0.25">
      <c r="A3897" s="7"/>
    </row>
    <row r="3898" spans="1:1" x14ac:dyDescent="0.25">
      <c r="A3898" s="7"/>
    </row>
    <row r="3899" spans="1:1" x14ac:dyDescent="0.25">
      <c r="A3899" s="7"/>
    </row>
    <row r="3900" spans="1:1" x14ac:dyDescent="0.25">
      <c r="A3900" s="7"/>
    </row>
    <row r="3901" spans="1:1" x14ac:dyDescent="0.25">
      <c r="A3901" s="7"/>
    </row>
    <row r="3902" spans="1:1" x14ac:dyDescent="0.25">
      <c r="A3902" s="7"/>
    </row>
    <row r="3903" spans="1:1" x14ac:dyDescent="0.25">
      <c r="A3903" s="7"/>
    </row>
    <row r="3904" spans="1:1" x14ac:dyDescent="0.25">
      <c r="A3904" s="7"/>
    </row>
    <row r="3905" spans="1:1" x14ac:dyDescent="0.25">
      <c r="A3905" s="7"/>
    </row>
    <row r="3906" spans="1:1" x14ac:dyDescent="0.25">
      <c r="A3906" s="7"/>
    </row>
    <row r="3907" spans="1:1" x14ac:dyDescent="0.25">
      <c r="A3907" s="7"/>
    </row>
    <row r="3908" spans="1:1" x14ac:dyDescent="0.25">
      <c r="A3908" s="7"/>
    </row>
    <row r="3909" spans="1:1" x14ac:dyDescent="0.25">
      <c r="A3909" s="7"/>
    </row>
    <row r="3910" spans="1:1" x14ac:dyDescent="0.25">
      <c r="A3910" s="7"/>
    </row>
    <row r="3911" spans="1:1" x14ac:dyDescent="0.25">
      <c r="A3911" s="7"/>
    </row>
    <row r="3912" spans="1:1" x14ac:dyDescent="0.25">
      <c r="A3912" s="7"/>
    </row>
    <row r="3913" spans="1:1" x14ac:dyDescent="0.25">
      <c r="A3913" s="7"/>
    </row>
    <row r="3914" spans="1:1" x14ac:dyDescent="0.25">
      <c r="A3914" s="7"/>
    </row>
    <row r="3915" spans="1:1" x14ac:dyDescent="0.25">
      <c r="A3915" s="7"/>
    </row>
    <row r="3916" spans="1:1" x14ac:dyDescent="0.25">
      <c r="A3916" s="7"/>
    </row>
    <row r="3917" spans="1:1" x14ac:dyDescent="0.25">
      <c r="A3917" s="7"/>
    </row>
    <row r="3918" spans="1:1" x14ac:dyDescent="0.25">
      <c r="A3918" s="7"/>
    </row>
    <row r="3919" spans="1:1" x14ac:dyDescent="0.25">
      <c r="A3919" s="7"/>
    </row>
    <row r="3920" spans="1:1" x14ac:dyDescent="0.25">
      <c r="A3920" s="7"/>
    </row>
    <row r="3921" spans="1:1" x14ac:dyDescent="0.25">
      <c r="A3921" s="7"/>
    </row>
    <row r="3922" spans="1:1" x14ac:dyDescent="0.25">
      <c r="A3922" s="7"/>
    </row>
    <row r="3923" spans="1:1" x14ac:dyDescent="0.25">
      <c r="A3923" s="7"/>
    </row>
    <row r="3924" spans="1:1" x14ac:dyDescent="0.25">
      <c r="A3924" s="7"/>
    </row>
    <row r="3925" spans="1:1" x14ac:dyDescent="0.25">
      <c r="A3925" s="7"/>
    </row>
    <row r="3926" spans="1:1" x14ac:dyDescent="0.25">
      <c r="A3926" s="7"/>
    </row>
    <row r="3927" spans="1:1" x14ac:dyDescent="0.25">
      <c r="A3927" s="7"/>
    </row>
    <row r="3928" spans="1:1" x14ac:dyDescent="0.25">
      <c r="A3928" s="7"/>
    </row>
    <row r="3929" spans="1:1" x14ac:dyDescent="0.25">
      <c r="A3929" s="7"/>
    </row>
    <row r="3930" spans="1:1" x14ac:dyDescent="0.25">
      <c r="A3930" s="7"/>
    </row>
    <row r="3931" spans="1:1" x14ac:dyDescent="0.25">
      <c r="A3931" s="7"/>
    </row>
    <row r="3932" spans="1:1" x14ac:dyDescent="0.25">
      <c r="A3932" s="7"/>
    </row>
    <row r="3933" spans="1:1" x14ac:dyDescent="0.25">
      <c r="A3933" s="7"/>
    </row>
    <row r="3934" spans="1:1" x14ac:dyDescent="0.25">
      <c r="A3934" s="7"/>
    </row>
    <row r="3935" spans="1:1" x14ac:dyDescent="0.25">
      <c r="A3935" s="7"/>
    </row>
    <row r="3936" spans="1:1" x14ac:dyDescent="0.25">
      <c r="A3936" s="7"/>
    </row>
    <row r="3937" spans="1:1" x14ac:dyDescent="0.25">
      <c r="A3937" s="7"/>
    </row>
    <row r="3938" spans="1:1" x14ac:dyDescent="0.25">
      <c r="A3938" s="7"/>
    </row>
    <row r="3939" spans="1:1" x14ac:dyDescent="0.25">
      <c r="A3939" s="7"/>
    </row>
    <row r="3940" spans="1:1" x14ac:dyDescent="0.25">
      <c r="A3940" s="7"/>
    </row>
    <row r="3941" spans="1:1" x14ac:dyDescent="0.25">
      <c r="A3941" s="7"/>
    </row>
    <row r="3942" spans="1:1" x14ac:dyDescent="0.25">
      <c r="A3942" s="7"/>
    </row>
    <row r="3943" spans="1:1" x14ac:dyDescent="0.25">
      <c r="A3943" s="7"/>
    </row>
    <row r="3944" spans="1:1" x14ac:dyDescent="0.25">
      <c r="A3944" s="7"/>
    </row>
    <row r="3945" spans="1:1" x14ac:dyDescent="0.25">
      <c r="A3945" s="7"/>
    </row>
    <row r="3946" spans="1:1" x14ac:dyDescent="0.25">
      <c r="A3946" s="7"/>
    </row>
    <row r="3947" spans="1:1" x14ac:dyDescent="0.25">
      <c r="A3947" s="7"/>
    </row>
    <row r="3948" spans="1:1" x14ac:dyDescent="0.25">
      <c r="A3948" s="7"/>
    </row>
    <row r="3949" spans="1:1" x14ac:dyDescent="0.25">
      <c r="A3949" s="7"/>
    </row>
    <row r="3950" spans="1:1" x14ac:dyDescent="0.25">
      <c r="A3950" s="7"/>
    </row>
    <row r="3951" spans="1:1" x14ac:dyDescent="0.25">
      <c r="A3951" s="7"/>
    </row>
    <row r="3952" spans="1:1" x14ac:dyDescent="0.25">
      <c r="A3952" s="7"/>
    </row>
    <row r="3953" spans="1:1" x14ac:dyDescent="0.25">
      <c r="A3953" s="7"/>
    </row>
    <row r="3954" spans="1:1" x14ac:dyDescent="0.25">
      <c r="A3954" s="7"/>
    </row>
    <row r="3955" spans="1:1" x14ac:dyDescent="0.25">
      <c r="A3955" s="7"/>
    </row>
    <row r="3956" spans="1:1" x14ac:dyDescent="0.25">
      <c r="A3956" s="7"/>
    </row>
    <row r="3957" spans="1:1" x14ac:dyDescent="0.25">
      <c r="A3957" s="7"/>
    </row>
    <row r="3958" spans="1:1" x14ac:dyDescent="0.25">
      <c r="A3958" s="7"/>
    </row>
    <row r="3959" spans="1:1" x14ac:dyDescent="0.25">
      <c r="A3959" s="7"/>
    </row>
    <row r="3960" spans="1:1" x14ac:dyDescent="0.25">
      <c r="A3960" s="7"/>
    </row>
    <row r="3961" spans="1:1" x14ac:dyDescent="0.25">
      <c r="A3961" s="7"/>
    </row>
    <row r="3962" spans="1:1" x14ac:dyDescent="0.25">
      <c r="A3962" s="7"/>
    </row>
    <row r="3963" spans="1:1" x14ac:dyDescent="0.25">
      <c r="A3963" s="7"/>
    </row>
    <row r="3964" spans="1:1" x14ac:dyDescent="0.25">
      <c r="A3964" s="7"/>
    </row>
    <row r="3965" spans="1:1" x14ac:dyDescent="0.25">
      <c r="A3965" s="7"/>
    </row>
    <row r="3966" spans="1:1" x14ac:dyDescent="0.25">
      <c r="A3966" s="7"/>
    </row>
    <row r="3967" spans="1:1" x14ac:dyDescent="0.25">
      <c r="A3967" s="7"/>
    </row>
    <row r="3968" spans="1:1" x14ac:dyDescent="0.25">
      <c r="A3968" s="7"/>
    </row>
    <row r="3969" spans="1:1" x14ac:dyDescent="0.25">
      <c r="A3969" s="7"/>
    </row>
    <row r="3970" spans="1:1" x14ac:dyDescent="0.25">
      <c r="A3970" s="7"/>
    </row>
    <row r="3971" spans="1:1" x14ac:dyDescent="0.25">
      <c r="A3971" s="7"/>
    </row>
    <row r="3972" spans="1:1" x14ac:dyDescent="0.25">
      <c r="A3972" s="7"/>
    </row>
    <row r="3973" spans="1:1" x14ac:dyDescent="0.25">
      <c r="A3973" s="7"/>
    </row>
    <row r="3974" spans="1:1" x14ac:dyDescent="0.25">
      <c r="A3974" s="7"/>
    </row>
    <row r="3975" spans="1:1" x14ac:dyDescent="0.25">
      <c r="A3975" s="7"/>
    </row>
    <row r="3976" spans="1:1" x14ac:dyDescent="0.25">
      <c r="A3976" s="7"/>
    </row>
    <row r="3977" spans="1:1" x14ac:dyDescent="0.25">
      <c r="A3977" s="7"/>
    </row>
    <row r="3978" spans="1:1" x14ac:dyDescent="0.25">
      <c r="A3978" s="7"/>
    </row>
    <row r="3979" spans="1:1" x14ac:dyDescent="0.25">
      <c r="A3979" s="7"/>
    </row>
    <row r="3980" spans="1:1" x14ac:dyDescent="0.25">
      <c r="A3980" s="7"/>
    </row>
    <row r="3981" spans="1:1" x14ac:dyDescent="0.25">
      <c r="A3981" s="7"/>
    </row>
    <row r="3982" spans="1:1" x14ac:dyDescent="0.25">
      <c r="A3982" s="7"/>
    </row>
    <row r="3983" spans="1:1" x14ac:dyDescent="0.25">
      <c r="A3983" s="7"/>
    </row>
    <row r="3984" spans="1:1" x14ac:dyDescent="0.25">
      <c r="A3984" s="7"/>
    </row>
    <row r="3985" spans="1:1" x14ac:dyDescent="0.25">
      <c r="A3985" s="7"/>
    </row>
    <row r="3986" spans="1:1" x14ac:dyDescent="0.25">
      <c r="A3986" s="7"/>
    </row>
    <row r="3987" spans="1:1" x14ac:dyDescent="0.25">
      <c r="A3987" s="7"/>
    </row>
    <row r="3988" spans="1:1" x14ac:dyDescent="0.25">
      <c r="A3988" s="7"/>
    </row>
    <row r="3989" spans="1:1" x14ac:dyDescent="0.25">
      <c r="A3989" s="7"/>
    </row>
    <row r="3990" spans="1:1" x14ac:dyDescent="0.25">
      <c r="A3990" s="7"/>
    </row>
    <row r="3991" spans="1:1" x14ac:dyDescent="0.25">
      <c r="A3991" s="7"/>
    </row>
    <row r="3992" spans="1:1" x14ac:dyDescent="0.25">
      <c r="A3992" s="7"/>
    </row>
    <row r="3993" spans="1:1" x14ac:dyDescent="0.25">
      <c r="A3993" s="7"/>
    </row>
    <row r="3994" spans="1:1" x14ac:dyDescent="0.25">
      <c r="A3994" s="7"/>
    </row>
    <row r="3995" spans="1:1" x14ac:dyDescent="0.25">
      <c r="A3995" s="7"/>
    </row>
    <row r="3996" spans="1:1" x14ac:dyDescent="0.25">
      <c r="A3996" s="7"/>
    </row>
    <row r="3997" spans="1:1" x14ac:dyDescent="0.25">
      <c r="A3997" s="7"/>
    </row>
    <row r="3998" spans="1:1" x14ac:dyDescent="0.25">
      <c r="A3998" s="7"/>
    </row>
    <row r="3999" spans="1:1" x14ac:dyDescent="0.25">
      <c r="A3999" s="7"/>
    </row>
    <row r="4000" spans="1:1" x14ac:dyDescent="0.25">
      <c r="A4000" s="7"/>
    </row>
    <row r="4001" spans="1:1" x14ac:dyDescent="0.25">
      <c r="A4001" s="7"/>
    </row>
    <row r="4002" spans="1:1" x14ac:dyDescent="0.25">
      <c r="A4002" s="7"/>
    </row>
    <row r="4003" spans="1:1" x14ac:dyDescent="0.25">
      <c r="A4003" s="7"/>
    </row>
    <row r="4004" spans="1:1" x14ac:dyDescent="0.25">
      <c r="A4004" s="7"/>
    </row>
    <row r="4005" spans="1:1" x14ac:dyDescent="0.25">
      <c r="A4005" s="7"/>
    </row>
    <row r="4006" spans="1:1" x14ac:dyDescent="0.25">
      <c r="A4006" s="7"/>
    </row>
    <row r="4007" spans="1:1" x14ac:dyDescent="0.25">
      <c r="A4007" s="7"/>
    </row>
    <row r="4008" spans="1:1" x14ac:dyDescent="0.25">
      <c r="A4008" s="7"/>
    </row>
    <row r="4009" spans="1:1" x14ac:dyDescent="0.25">
      <c r="A4009" s="7"/>
    </row>
    <row r="4010" spans="1:1" x14ac:dyDescent="0.25">
      <c r="A4010" s="7"/>
    </row>
    <row r="4011" spans="1:1" x14ac:dyDescent="0.25">
      <c r="A4011" s="7"/>
    </row>
    <row r="4012" spans="1:1" x14ac:dyDescent="0.25">
      <c r="A4012" s="7"/>
    </row>
    <row r="4013" spans="1:1" x14ac:dyDescent="0.25">
      <c r="A4013" s="7"/>
    </row>
    <row r="4014" spans="1:1" x14ac:dyDescent="0.25">
      <c r="A4014" s="7"/>
    </row>
    <row r="4015" spans="1:1" x14ac:dyDescent="0.25">
      <c r="A4015" s="7"/>
    </row>
    <row r="4016" spans="1:1" x14ac:dyDescent="0.25">
      <c r="A4016" s="7"/>
    </row>
    <row r="4017" spans="1:1" x14ac:dyDescent="0.25">
      <c r="A4017" s="7"/>
    </row>
    <row r="4018" spans="1:1" x14ac:dyDescent="0.25">
      <c r="A4018" s="7"/>
    </row>
    <row r="4019" spans="1:1" x14ac:dyDescent="0.25">
      <c r="A4019" s="7"/>
    </row>
    <row r="4020" spans="1:1" x14ac:dyDescent="0.25">
      <c r="A4020" s="7"/>
    </row>
    <row r="4021" spans="1:1" x14ac:dyDescent="0.25">
      <c r="A4021" s="7"/>
    </row>
    <row r="4022" spans="1:1" x14ac:dyDescent="0.25">
      <c r="A4022" s="7"/>
    </row>
    <row r="4023" spans="1:1" x14ac:dyDescent="0.25">
      <c r="A4023" s="7"/>
    </row>
    <row r="4024" spans="1:1" x14ac:dyDescent="0.25">
      <c r="A4024" s="7"/>
    </row>
    <row r="4025" spans="1:1" x14ac:dyDescent="0.25">
      <c r="A4025" s="7"/>
    </row>
    <row r="4026" spans="1:1" x14ac:dyDescent="0.25">
      <c r="A4026" s="7"/>
    </row>
    <row r="4027" spans="1:1" x14ac:dyDescent="0.25">
      <c r="A4027" s="7"/>
    </row>
    <row r="4028" spans="1:1" x14ac:dyDescent="0.25">
      <c r="A4028" s="7"/>
    </row>
    <row r="4029" spans="1:1" x14ac:dyDescent="0.25">
      <c r="A4029" s="7"/>
    </row>
    <row r="4030" spans="1:1" x14ac:dyDescent="0.25">
      <c r="A4030" s="7"/>
    </row>
    <row r="4031" spans="1:1" x14ac:dyDescent="0.25">
      <c r="A4031" s="7"/>
    </row>
    <row r="4032" spans="1:1" x14ac:dyDescent="0.25">
      <c r="A4032" s="7"/>
    </row>
    <row r="4033" spans="1:1" x14ac:dyDescent="0.25">
      <c r="A4033" s="7"/>
    </row>
    <row r="4034" spans="1:1" x14ac:dyDescent="0.25">
      <c r="A4034" s="7"/>
    </row>
    <row r="4035" spans="1:1" x14ac:dyDescent="0.25">
      <c r="A4035" s="7"/>
    </row>
    <row r="4036" spans="1:1" x14ac:dyDescent="0.25">
      <c r="A4036" s="7"/>
    </row>
    <row r="4037" spans="1:1" x14ac:dyDescent="0.25">
      <c r="A4037" s="7"/>
    </row>
    <row r="4038" spans="1:1" x14ac:dyDescent="0.25">
      <c r="A4038" s="7"/>
    </row>
    <row r="4039" spans="1:1" x14ac:dyDescent="0.25">
      <c r="A4039" s="7"/>
    </row>
    <row r="4040" spans="1:1" x14ac:dyDescent="0.25">
      <c r="A4040" s="7"/>
    </row>
    <row r="4041" spans="1:1" x14ac:dyDescent="0.25">
      <c r="A4041" s="7"/>
    </row>
    <row r="4042" spans="1:1" x14ac:dyDescent="0.25">
      <c r="A4042" s="7"/>
    </row>
    <row r="4043" spans="1:1" x14ac:dyDescent="0.25">
      <c r="A4043" s="7"/>
    </row>
    <row r="4044" spans="1:1" x14ac:dyDescent="0.25">
      <c r="A4044" s="7"/>
    </row>
    <row r="4045" spans="1:1" x14ac:dyDescent="0.25">
      <c r="A4045" s="7"/>
    </row>
    <row r="4046" spans="1:1" x14ac:dyDescent="0.25">
      <c r="A4046" s="7"/>
    </row>
    <row r="4047" spans="1:1" x14ac:dyDescent="0.25">
      <c r="A4047" s="7"/>
    </row>
    <row r="4048" spans="1:1" x14ac:dyDescent="0.25">
      <c r="A4048" s="7"/>
    </row>
    <row r="4049" spans="1:1" x14ac:dyDescent="0.25">
      <c r="A4049" s="7"/>
    </row>
    <row r="4050" spans="1:1" x14ac:dyDescent="0.25">
      <c r="A4050" s="7"/>
    </row>
    <row r="4051" spans="1:1" x14ac:dyDescent="0.25">
      <c r="A4051" s="7"/>
    </row>
    <row r="4052" spans="1:1" x14ac:dyDescent="0.25">
      <c r="A4052" s="7"/>
    </row>
    <row r="4053" spans="1:1" x14ac:dyDescent="0.25">
      <c r="A4053" s="7"/>
    </row>
    <row r="4054" spans="1:1" x14ac:dyDescent="0.25">
      <c r="A4054" s="7"/>
    </row>
    <row r="4055" spans="1:1" x14ac:dyDescent="0.25">
      <c r="A4055" s="7"/>
    </row>
    <row r="4056" spans="1:1" x14ac:dyDescent="0.25">
      <c r="A4056" s="7"/>
    </row>
    <row r="4057" spans="1:1" x14ac:dyDescent="0.25">
      <c r="A4057" s="7"/>
    </row>
    <row r="4058" spans="1:1" x14ac:dyDescent="0.25">
      <c r="A4058" s="7"/>
    </row>
    <row r="4059" spans="1:1" x14ac:dyDescent="0.25">
      <c r="A4059" s="7"/>
    </row>
    <row r="4060" spans="1:1" x14ac:dyDescent="0.25">
      <c r="A4060" s="7"/>
    </row>
    <row r="4061" spans="1:1" x14ac:dyDescent="0.25">
      <c r="A4061" s="7"/>
    </row>
    <row r="4062" spans="1:1" x14ac:dyDescent="0.25">
      <c r="A4062" s="7"/>
    </row>
    <row r="4063" spans="1:1" x14ac:dyDescent="0.25">
      <c r="A4063" s="7"/>
    </row>
    <row r="4064" spans="1:1" x14ac:dyDescent="0.25">
      <c r="A4064" s="7"/>
    </row>
    <row r="4065" spans="1:1" x14ac:dyDescent="0.25">
      <c r="A4065" s="7"/>
    </row>
    <row r="4066" spans="1:1" x14ac:dyDescent="0.25">
      <c r="A4066" s="7"/>
    </row>
    <row r="4067" spans="1:1" x14ac:dyDescent="0.25">
      <c r="A4067" s="7"/>
    </row>
    <row r="4068" spans="1:1" x14ac:dyDescent="0.25">
      <c r="A4068" s="7"/>
    </row>
    <row r="4069" spans="1:1" x14ac:dyDescent="0.25">
      <c r="A4069" s="7"/>
    </row>
    <row r="4070" spans="1:1" x14ac:dyDescent="0.25">
      <c r="A4070" s="7"/>
    </row>
    <row r="4071" spans="1:1" x14ac:dyDescent="0.25">
      <c r="A4071" s="7"/>
    </row>
    <row r="4072" spans="1:1" x14ac:dyDescent="0.25">
      <c r="A4072" s="7"/>
    </row>
    <row r="4073" spans="1:1" x14ac:dyDescent="0.25">
      <c r="A4073" s="7"/>
    </row>
    <row r="4074" spans="1:1" x14ac:dyDescent="0.25">
      <c r="A4074" s="7"/>
    </row>
    <row r="4075" spans="1:1" x14ac:dyDescent="0.25">
      <c r="A4075" s="7"/>
    </row>
    <row r="4076" spans="1:1" x14ac:dyDescent="0.25">
      <c r="A4076" s="7"/>
    </row>
    <row r="4077" spans="1:1" x14ac:dyDescent="0.25">
      <c r="A4077" s="7"/>
    </row>
    <row r="4078" spans="1:1" x14ac:dyDescent="0.25">
      <c r="A4078" s="7"/>
    </row>
    <row r="4079" spans="1:1" x14ac:dyDescent="0.25">
      <c r="A4079" s="7"/>
    </row>
    <row r="4080" spans="1:1" x14ac:dyDescent="0.25">
      <c r="A4080" s="7"/>
    </row>
    <row r="4081" spans="1:1" x14ac:dyDescent="0.25">
      <c r="A4081" s="7"/>
    </row>
    <row r="4082" spans="1:1" x14ac:dyDescent="0.25">
      <c r="A4082" s="7"/>
    </row>
    <row r="4083" spans="1:1" x14ac:dyDescent="0.25">
      <c r="A4083" s="7"/>
    </row>
    <row r="4084" spans="1:1" x14ac:dyDescent="0.25">
      <c r="A4084" s="7"/>
    </row>
    <row r="4085" spans="1:1" x14ac:dyDescent="0.25">
      <c r="A4085" s="7"/>
    </row>
    <row r="4086" spans="1:1" x14ac:dyDescent="0.25">
      <c r="A4086" s="7"/>
    </row>
    <row r="4087" spans="1:1" x14ac:dyDescent="0.25">
      <c r="A4087" s="7"/>
    </row>
    <row r="4088" spans="1:1" x14ac:dyDescent="0.25">
      <c r="A4088" s="7"/>
    </row>
    <row r="4089" spans="1:1" x14ac:dyDescent="0.25">
      <c r="A4089" s="7"/>
    </row>
    <row r="4090" spans="1:1" x14ac:dyDescent="0.25">
      <c r="A4090" s="7"/>
    </row>
    <row r="4091" spans="1:1" x14ac:dyDescent="0.25">
      <c r="A4091" s="7"/>
    </row>
    <row r="4092" spans="1:1" x14ac:dyDescent="0.25">
      <c r="A4092" s="7"/>
    </row>
    <row r="4093" spans="1:1" x14ac:dyDescent="0.25">
      <c r="A4093" s="7"/>
    </row>
    <row r="4094" spans="1:1" x14ac:dyDescent="0.25">
      <c r="A4094" s="7"/>
    </row>
    <row r="4095" spans="1:1" x14ac:dyDescent="0.25">
      <c r="A4095" s="7"/>
    </row>
    <row r="4096" spans="1:1" x14ac:dyDescent="0.25">
      <c r="A4096" s="7"/>
    </row>
    <row r="4097" spans="1:1" x14ac:dyDescent="0.25">
      <c r="A4097" s="7"/>
    </row>
    <row r="4098" spans="1:1" x14ac:dyDescent="0.25">
      <c r="A4098" s="7"/>
    </row>
    <row r="4099" spans="1:1" x14ac:dyDescent="0.25">
      <c r="A4099" s="7"/>
    </row>
    <row r="4100" spans="1:1" x14ac:dyDescent="0.25">
      <c r="A4100" s="7"/>
    </row>
    <row r="4101" spans="1:1" x14ac:dyDescent="0.25">
      <c r="A4101" s="7"/>
    </row>
    <row r="4102" spans="1:1" x14ac:dyDescent="0.25">
      <c r="A4102" s="7"/>
    </row>
    <row r="4103" spans="1:1" x14ac:dyDescent="0.25">
      <c r="A4103" s="7"/>
    </row>
    <row r="4104" spans="1:1" x14ac:dyDescent="0.25">
      <c r="A4104" s="7"/>
    </row>
    <row r="4105" spans="1:1" x14ac:dyDescent="0.25">
      <c r="A4105" s="7"/>
    </row>
    <row r="4106" spans="1:1" x14ac:dyDescent="0.25">
      <c r="A4106" s="7"/>
    </row>
    <row r="4107" spans="1:1" x14ac:dyDescent="0.25">
      <c r="A4107" s="7"/>
    </row>
    <row r="4108" spans="1:1" x14ac:dyDescent="0.25">
      <c r="A4108" s="7"/>
    </row>
    <row r="4109" spans="1:1" x14ac:dyDescent="0.25">
      <c r="A4109" s="7"/>
    </row>
    <row r="4110" spans="1:1" x14ac:dyDescent="0.25">
      <c r="A4110" s="7"/>
    </row>
    <row r="4111" spans="1:1" x14ac:dyDescent="0.25">
      <c r="A4111" s="7"/>
    </row>
    <row r="4112" spans="1:1" x14ac:dyDescent="0.25">
      <c r="A4112" s="7"/>
    </row>
    <row r="4113" spans="1:1" x14ac:dyDescent="0.25">
      <c r="A4113" s="7"/>
    </row>
    <row r="4114" spans="1:1" x14ac:dyDescent="0.25">
      <c r="A4114" s="7"/>
    </row>
    <row r="4115" spans="1:1" x14ac:dyDescent="0.25">
      <c r="A4115" s="7"/>
    </row>
    <row r="4116" spans="1:1" x14ac:dyDescent="0.25">
      <c r="A4116" s="7"/>
    </row>
    <row r="4117" spans="1:1" x14ac:dyDescent="0.25">
      <c r="A4117" s="7"/>
    </row>
    <row r="4118" spans="1:1" x14ac:dyDescent="0.25">
      <c r="A4118" s="7"/>
    </row>
    <row r="4119" spans="1:1" x14ac:dyDescent="0.25">
      <c r="A4119" s="7"/>
    </row>
    <row r="4120" spans="1:1" x14ac:dyDescent="0.25">
      <c r="A4120" s="7"/>
    </row>
    <row r="4121" spans="1:1" x14ac:dyDescent="0.25">
      <c r="A4121" s="7"/>
    </row>
    <row r="4122" spans="1:1" x14ac:dyDescent="0.25">
      <c r="A4122" s="7"/>
    </row>
    <row r="4123" spans="1:1" x14ac:dyDescent="0.25">
      <c r="A4123" s="7"/>
    </row>
    <row r="4124" spans="1:1" x14ac:dyDescent="0.25">
      <c r="A4124" s="7"/>
    </row>
    <row r="4125" spans="1:1" x14ac:dyDescent="0.25">
      <c r="A4125" s="7"/>
    </row>
    <row r="4126" spans="1:1" x14ac:dyDescent="0.25">
      <c r="A4126" s="7"/>
    </row>
    <row r="4127" spans="1:1" x14ac:dyDescent="0.25">
      <c r="A4127" s="7"/>
    </row>
    <row r="4128" spans="1:1" x14ac:dyDescent="0.25">
      <c r="A4128" s="7"/>
    </row>
    <row r="4129" spans="1:1" x14ac:dyDescent="0.25">
      <c r="A4129" s="7"/>
    </row>
    <row r="4130" spans="1:1" x14ac:dyDescent="0.25">
      <c r="A4130" s="7"/>
    </row>
    <row r="4131" spans="1:1" x14ac:dyDescent="0.25">
      <c r="A4131" s="7"/>
    </row>
    <row r="4132" spans="1:1" x14ac:dyDescent="0.25">
      <c r="A4132" s="7"/>
    </row>
    <row r="4133" spans="1:1" x14ac:dyDescent="0.25">
      <c r="A4133" s="7"/>
    </row>
    <row r="4134" spans="1:1" x14ac:dyDescent="0.25">
      <c r="A4134" s="7"/>
    </row>
    <row r="4135" spans="1:1" x14ac:dyDescent="0.25">
      <c r="A4135" s="7"/>
    </row>
    <row r="4136" spans="1:1" x14ac:dyDescent="0.25">
      <c r="A4136" s="7"/>
    </row>
    <row r="4137" spans="1:1" x14ac:dyDescent="0.25">
      <c r="A4137" s="7"/>
    </row>
    <row r="4138" spans="1:1" x14ac:dyDescent="0.25">
      <c r="A4138" s="7"/>
    </row>
    <row r="4139" spans="1:1" x14ac:dyDescent="0.25">
      <c r="A4139" s="7"/>
    </row>
    <row r="4140" spans="1:1" x14ac:dyDescent="0.25">
      <c r="A4140" s="7"/>
    </row>
    <row r="4141" spans="1:1" x14ac:dyDescent="0.25">
      <c r="A4141" s="7"/>
    </row>
    <row r="4142" spans="1:1" x14ac:dyDescent="0.25">
      <c r="A4142" s="7"/>
    </row>
    <row r="4143" spans="1:1" x14ac:dyDescent="0.25">
      <c r="A4143" s="7"/>
    </row>
    <row r="4144" spans="1:1" x14ac:dyDescent="0.25">
      <c r="A4144" s="7"/>
    </row>
    <row r="4145" spans="1:1" x14ac:dyDescent="0.25">
      <c r="A4145" s="7"/>
    </row>
    <row r="4146" spans="1:1" x14ac:dyDescent="0.25">
      <c r="A4146" s="7"/>
    </row>
    <row r="4147" spans="1:1" x14ac:dyDescent="0.25">
      <c r="A4147" s="7"/>
    </row>
    <row r="4148" spans="1:1" x14ac:dyDescent="0.25">
      <c r="A4148" s="7"/>
    </row>
    <row r="4149" spans="1:1" x14ac:dyDescent="0.25">
      <c r="A4149" s="7"/>
    </row>
    <row r="4150" spans="1:1" x14ac:dyDescent="0.25">
      <c r="A4150" s="7"/>
    </row>
    <row r="4151" spans="1:1" x14ac:dyDescent="0.25">
      <c r="A4151" s="7"/>
    </row>
    <row r="4152" spans="1:1" x14ac:dyDescent="0.25">
      <c r="A4152" s="7"/>
    </row>
    <row r="4153" spans="1:1" x14ac:dyDescent="0.25">
      <c r="A4153" s="7"/>
    </row>
    <row r="4154" spans="1:1" x14ac:dyDescent="0.25">
      <c r="A4154" s="7"/>
    </row>
    <row r="4155" spans="1:1" x14ac:dyDescent="0.25">
      <c r="A4155" s="7"/>
    </row>
    <row r="4156" spans="1:1" x14ac:dyDescent="0.25">
      <c r="A4156" s="7"/>
    </row>
    <row r="4157" spans="1:1" x14ac:dyDescent="0.25">
      <c r="A4157" s="7"/>
    </row>
    <row r="4158" spans="1:1" x14ac:dyDescent="0.25">
      <c r="A4158" s="7"/>
    </row>
    <row r="4159" spans="1:1" x14ac:dyDescent="0.25">
      <c r="A4159" s="7"/>
    </row>
    <row r="4160" spans="1:1" x14ac:dyDescent="0.25">
      <c r="A4160" s="7"/>
    </row>
    <row r="4161" spans="1:1" x14ac:dyDescent="0.25">
      <c r="A4161" s="7"/>
    </row>
    <row r="4162" spans="1:1" x14ac:dyDescent="0.25">
      <c r="A4162" s="7"/>
    </row>
    <row r="4163" spans="1:1" x14ac:dyDescent="0.25">
      <c r="A4163" s="7"/>
    </row>
    <row r="4164" spans="1:1" x14ac:dyDescent="0.25">
      <c r="A4164" s="7"/>
    </row>
    <row r="4165" spans="1:1" x14ac:dyDescent="0.25">
      <c r="A4165" s="7"/>
    </row>
    <row r="4166" spans="1:1" x14ac:dyDescent="0.25">
      <c r="A4166" s="7"/>
    </row>
    <row r="4167" spans="1:1" x14ac:dyDescent="0.25">
      <c r="A4167" s="7"/>
    </row>
    <row r="4168" spans="1:1" x14ac:dyDescent="0.25">
      <c r="A4168" s="7"/>
    </row>
    <row r="4169" spans="1:1" x14ac:dyDescent="0.25">
      <c r="A4169" s="7"/>
    </row>
    <row r="4170" spans="1:1" x14ac:dyDescent="0.25">
      <c r="A4170" s="7"/>
    </row>
    <row r="4171" spans="1:1" x14ac:dyDescent="0.25">
      <c r="A4171" s="7"/>
    </row>
    <row r="4172" spans="1:1" x14ac:dyDescent="0.25">
      <c r="A4172" s="7"/>
    </row>
    <row r="4173" spans="1:1" x14ac:dyDescent="0.25">
      <c r="A4173" s="7"/>
    </row>
    <row r="4174" spans="1:1" x14ac:dyDescent="0.25">
      <c r="A4174" s="7"/>
    </row>
    <row r="4175" spans="1:1" x14ac:dyDescent="0.25">
      <c r="A4175" s="7"/>
    </row>
    <row r="4176" spans="1:1" x14ac:dyDescent="0.25">
      <c r="A4176" s="7"/>
    </row>
    <row r="4177" spans="1:1" x14ac:dyDescent="0.25">
      <c r="A4177" s="7"/>
    </row>
    <row r="4178" spans="1:1" x14ac:dyDescent="0.25">
      <c r="A4178" s="7"/>
    </row>
    <row r="4179" spans="1:1" x14ac:dyDescent="0.25">
      <c r="A4179" s="7"/>
    </row>
    <row r="4180" spans="1:1" x14ac:dyDescent="0.25">
      <c r="A4180" s="7"/>
    </row>
    <row r="4181" spans="1:1" x14ac:dyDescent="0.25">
      <c r="A4181" s="7"/>
    </row>
    <row r="4182" spans="1:1" x14ac:dyDescent="0.25">
      <c r="A4182" s="7"/>
    </row>
    <row r="4183" spans="1:1" x14ac:dyDescent="0.25">
      <c r="A4183" s="7"/>
    </row>
    <row r="4184" spans="1:1" x14ac:dyDescent="0.25">
      <c r="A4184" s="7"/>
    </row>
    <row r="4185" spans="1:1" x14ac:dyDescent="0.25">
      <c r="A4185" s="7"/>
    </row>
    <row r="4186" spans="1:1" x14ac:dyDescent="0.25">
      <c r="A4186" s="7"/>
    </row>
    <row r="4187" spans="1:1" x14ac:dyDescent="0.25">
      <c r="A4187" s="7"/>
    </row>
    <row r="4188" spans="1:1" x14ac:dyDescent="0.25">
      <c r="A4188" s="7"/>
    </row>
    <row r="4189" spans="1:1" x14ac:dyDescent="0.25">
      <c r="A4189" s="7"/>
    </row>
    <row r="4190" spans="1:1" x14ac:dyDescent="0.25">
      <c r="A4190" s="7"/>
    </row>
    <row r="4191" spans="1:1" x14ac:dyDescent="0.25">
      <c r="A4191" s="7"/>
    </row>
    <row r="4192" spans="1:1" x14ac:dyDescent="0.25">
      <c r="A4192" s="7"/>
    </row>
    <row r="4193" spans="1:1" x14ac:dyDescent="0.25">
      <c r="A4193" s="7"/>
    </row>
    <row r="4194" spans="1:1" x14ac:dyDescent="0.25">
      <c r="A4194" s="7"/>
    </row>
    <row r="4195" spans="1:1" x14ac:dyDescent="0.25">
      <c r="A4195" s="7"/>
    </row>
    <row r="4196" spans="1:1" x14ac:dyDescent="0.25">
      <c r="A4196" s="7"/>
    </row>
    <row r="4197" spans="1:1" x14ac:dyDescent="0.25">
      <c r="A4197" s="7"/>
    </row>
    <row r="4198" spans="1:1" x14ac:dyDescent="0.25">
      <c r="A4198" s="7"/>
    </row>
    <row r="4199" spans="1:1" x14ac:dyDescent="0.25">
      <c r="A4199" s="7"/>
    </row>
    <row r="4200" spans="1:1" x14ac:dyDescent="0.25">
      <c r="A4200" s="7"/>
    </row>
    <row r="4201" spans="1:1" x14ac:dyDescent="0.25">
      <c r="A4201" s="7"/>
    </row>
    <row r="4202" spans="1:1" x14ac:dyDescent="0.25">
      <c r="A4202" s="7"/>
    </row>
    <row r="4203" spans="1:1" x14ac:dyDescent="0.25">
      <c r="A4203" s="7"/>
    </row>
    <row r="4204" spans="1:1" x14ac:dyDescent="0.25">
      <c r="A4204" s="7"/>
    </row>
    <row r="4205" spans="1:1" x14ac:dyDescent="0.25">
      <c r="A4205" s="7"/>
    </row>
    <row r="4206" spans="1:1" x14ac:dyDescent="0.25">
      <c r="A4206" s="7"/>
    </row>
    <row r="4207" spans="1:1" x14ac:dyDescent="0.25">
      <c r="A4207" s="7"/>
    </row>
    <row r="4208" spans="1:1" x14ac:dyDescent="0.25">
      <c r="A4208" s="7"/>
    </row>
    <row r="4209" spans="1:1" x14ac:dyDescent="0.25">
      <c r="A4209" s="7"/>
    </row>
    <row r="4210" spans="1:1" x14ac:dyDescent="0.25">
      <c r="A4210" s="7"/>
    </row>
    <row r="4211" spans="1:1" x14ac:dyDescent="0.25">
      <c r="A4211" s="7"/>
    </row>
    <row r="4212" spans="1:1" x14ac:dyDescent="0.25">
      <c r="A4212" s="7"/>
    </row>
    <row r="4213" spans="1:1" x14ac:dyDescent="0.25">
      <c r="A4213" s="7"/>
    </row>
    <row r="4214" spans="1:1" x14ac:dyDescent="0.25">
      <c r="A4214" s="7"/>
    </row>
    <row r="4215" spans="1:1" x14ac:dyDescent="0.25">
      <c r="A4215" s="7"/>
    </row>
    <row r="4216" spans="1:1" x14ac:dyDescent="0.25">
      <c r="A4216" s="7"/>
    </row>
    <row r="4217" spans="1:1" x14ac:dyDescent="0.25">
      <c r="A4217" s="7"/>
    </row>
    <row r="4218" spans="1:1" x14ac:dyDescent="0.25">
      <c r="A4218" s="7"/>
    </row>
    <row r="4219" spans="1:1" x14ac:dyDescent="0.25">
      <c r="A4219" s="7"/>
    </row>
    <row r="4220" spans="1:1" x14ac:dyDescent="0.25">
      <c r="A4220" s="7"/>
    </row>
    <row r="4221" spans="1:1" x14ac:dyDescent="0.25">
      <c r="A4221" s="7"/>
    </row>
    <row r="4222" spans="1:1" x14ac:dyDescent="0.25">
      <c r="A4222" s="7"/>
    </row>
    <row r="4223" spans="1:1" x14ac:dyDescent="0.25">
      <c r="A4223" s="7"/>
    </row>
    <row r="4224" spans="1:1" x14ac:dyDescent="0.25">
      <c r="A4224" s="7"/>
    </row>
    <row r="4225" spans="1:1" x14ac:dyDescent="0.25">
      <c r="A4225" s="7"/>
    </row>
    <row r="4226" spans="1:1" x14ac:dyDescent="0.25">
      <c r="A4226" s="7"/>
    </row>
    <row r="4227" spans="1:1" x14ac:dyDescent="0.25">
      <c r="A4227" s="7"/>
    </row>
    <row r="4228" spans="1:1" x14ac:dyDescent="0.25">
      <c r="A4228" s="7"/>
    </row>
    <row r="4229" spans="1:1" x14ac:dyDescent="0.25">
      <c r="A4229" s="7"/>
    </row>
    <row r="4230" spans="1:1" x14ac:dyDescent="0.25">
      <c r="A4230" s="7"/>
    </row>
    <row r="4231" spans="1:1" x14ac:dyDescent="0.25">
      <c r="A4231" s="7"/>
    </row>
    <row r="4232" spans="1:1" x14ac:dyDescent="0.25">
      <c r="A4232" s="7"/>
    </row>
    <row r="4233" spans="1:1" x14ac:dyDescent="0.25">
      <c r="A4233" s="7"/>
    </row>
    <row r="4234" spans="1:1" x14ac:dyDescent="0.25">
      <c r="A4234" s="7"/>
    </row>
    <row r="4235" spans="1:1" x14ac:dyDescent="0.25">
      <c r="A4235" s="7"/>
    </row>
    <row r="4236" spans="1:1" x14ac:dyDescent="0.25">
      <c r="A4236" s="7"/>
    </row>
    <row r="4237" spans="1:1" x14ac:dyDescent="0.25">
      <c r="A4237" s="7"/>
    </row>
    <row r="4238" spans="1:1" x14ac:dyDescent="0.25">
      <c r="A4238" s="7"/>
    </row>
    <row r="4239" spans="1:1" x14ac:dyDescent="0.25">
      <c r="A4239" s="7"/>
    </row>
    <row r="4240" spans="1:1" x14ac:dyDescent="0.25">
      <c r="A4240" s="7"/>
    </row>
    <row r="4241" spans="1:1" x14ac:dyDescent="0.25">
      <c r="A4241" s="7"/>
    </row>
    <row r="4242" spans="1:1" x14ac:dyDescent="0.25">
      <c r="A4242" s="7"/>
    </row>
    <row r="4243" spans="1:1" x14ac:dyDescent="0.25">
      <c r="A4243" s="7"/>
    </row>
    <row r="4244" spans="1:1" x14ac:dyDescent="0.25">
      <c r="A4244" s="7"/>
    </row>
    <row r="4245" spans="1:1" x14ac:dyDescent="0.25">
      <c r="A4245" s="7"/>
    </row>
    <row r="4246" spans="1:1" x14ac:dyDescent="0.25">
      <c r="A4246" s="7"/>
    </row>
    <row r="4247" spans="1:1" x14ac:dyDescent="0.25">
      <c r="A4247" s="7"/>
    </row>
    <row r="4248" spans="1:1" x14ac:dyDescent="0.25">
      <c r="A4248" s="7"/>
    </row>
    <row r="4249" spans="1:1" x14ac:dyDescent="0.25">
      <c r="A4249" s="7"/>
    </row>
    <row r="4250" spans="1:1" x14ac:dyDescent="0.25">
      <c r="A4250" s="7"/>
    </row>
    <row r="4251" spans="1:1" x14ac:dyDescent="0.25">
      <c r="A4251" s="7"/>
    </row>
    <row r="4252" spans="1:1" x14ac:dyDescent="0.25">
      <c r="A4252" s="7"/>
    </row>
    <row r="4253" spans="1:1" x14ac:dyDescent="0.25">
      <c r="A4253" s="7"/>
    </row>
    <row r="4254" spans="1:1" x14ac:dyDescent="0.25">
      <c r="A4254" s="7"/>
    </row>
    <row r="4255" spans="1:1" x14ac:dyDescent="0.25">
      <c r="A4255" s="7"/>
    </row>
    <row r="4256" spans="1:1" x14ac:dyDescent="0.25">
      <c r="A4256" s="7"/>
    </row>
    <row r="4257" spans="1:1" x14ac:dyDescent="0.25">
      <c r="A4257" s="7"/>
    </row>
    <row r="4258" spans="1:1" x14ac:dyDescent="0.25">
      <c r="A4258" s="7"/>
    </row>
    <row r="4259" spans="1:1" x14ac:dyDescent="0.25">
      <c r="A4259" s="7"/>
    </row>
    <row r="4260" spans="1:1" x14ac:dyDescent="0.25">
      <c r="A4260" s="7"/>
    </row>
    <row r="4261" spans="1:1" x14ac:dyDescent="0.25">
      <c r="A4261" s="7"/>
    </row>
    <row r="4262" spans="1:1" x14ac:dyDescent="0.25">
      <c r="A4262" s="7"/>
    </row>
    <row r="4263" spans="1:1" x14ac:dyDescent="0.25">
      <c r="A4263" s="7"/>
    </row>
    <row r="4264" spans="1:1" x14ac:dyDescent="0.25">
      <c r="A4264" s="7"/>
    </row>
    <row r="4265" spans="1:1" x14ac:dyDescent="0.25">
      <c r="A4265" s="7"/>
    </row>
    <row r="4266" spans="1:1" x14ac:dyDescent="0.25">
      <c r="A4266" s="7"/>
    </row>
    <row r="4267" spans="1:1" x14ac:dyDescent="0.25">
      <c r="A4267" s="7"/>
    </row>
    <row r="4268" spans="1:1" x14ac:dyDescent="0.25">
      <c r="A4268" s="7"/>
    </row>
    <row r="4269" spans="1:1" x14ac:dyDescent="0.25">
      <c r="A4269" s="7"/>
    </row>
    <row r="4270" spans="1:1" x14ac:dyDescent="0.25">
      <c r="A4270" s="7"/>
    </row>
    <row r="4271" spans="1:1" x14ac:dyDescent="0.25">
      <c r="A4271" s="7"/>
    </row>
    <row r="4272" spans="1:1" x14ac:dyDescent="0.25">
      <c r="A4272" s="7"/>
    </row>
    <row r="4273" spans="1:1" x14ac:dyDescent="0.25">
      <c r="A4273" s="7"/>
    </row>
    <row r="4274" spans="1:1" x14ac:dyDescent="0.25">
      <c r="A4274" s="7"/>
    </row>
    <row r="4275" spans="1:1" x14ac:dyDescent="0.25">
      <c r="A4275" s="7"/>
    </row>
    <row r="4276" spans="1:1" x14ac:dyDescent="0.25">
      <c r="A4276" s="7"/>
    </row>
    <row r="4277" spans="1:1" x14ac:dyDescent="0.25">
      <c r="A4277" s="7"/>
    </row>
    <row r="4278" spans="1:1" x14ac:dyDescent="0.25">
      <c r="A4278" s="7"/>
    </row>
    <row r="4279" spans="1:1" x14ac:dyDescent="0.25">
      <c r="A4279" s="7"/>
    </row>
    <row r="4280" spans="1:1" x14ac:dyDescent="0.25">
      <c r="A4280" s="7"/>
    </row>
    <row r="4281" spans="1:1" x14ac:dyDescent="0.25">
      <c r="A4281" s="7"/>
    </row>
    <row r="4282" spans="1:1" x14ac:dyDescent="0.25">
      <c r="A4282" s="7"/>
    </row>
    <row r="4283" spans="1:1" x14ac:dyDescent="0.25">
      <c r="A4283" s="7"/>
    </row>
    <row r="4284" spans="1:1" x14ac:dyDescent="0.25">
      <c r="A4284" s="7"/>
    </row>
    <row r="4285" spans="1:1" x14ac:dyDescent="0.25">
      <c r="A4285" s="7"/>
    </row>
    <row r="4286" spans="1:1" x14ac:dyDescent="0.25">
      <c r="A4286" s="7"/>
    </row>
    <row r="4287" spans="1:1" x14ac:dyDescent="0.25">
      <c r="A4287" s="7"/>
    </row>
    <row r="4288" spans="1:1" x14ac:dyDescent="0.25">
      <c r="A4288" s="7"/>
    </row>
    <row r="4289" spans="1:1" x14ac:dyDescent="0.25">
      <c r="A4289" s="7"/>
    </row>
    <row r="4290" spans="1:1" x14ac:dyDescent="0.25">
      <c r="A4290" s="7"/>
    </row>
    <row r="4291" spans="1:1" x14ac:dyDescent="0.25">
      <c r="A4291" s="7"/>
    </row>
    <row r="4292" spans="1:1" x14ac:dyDescent="0.25">
      <c r="A4292" s="7"/>
    </row>
    <row r="4293" spans="1:1" x14ac:dyDescent="0.25">
      <c r="A4293" s="7"/>
    </row>
    <row r="4294" spans="1:1" x14ac:dyDescent="0.25">
      <c r="A4294" s="7"/>
    </row>
    <row r="4295" spans="1:1" x14ac:dyDescent="0.25">
      <c r="A4295" s="7"/>
    </row>
    <row r="4296" spans="1:1" x14ac:dyDescent="0.25">
      <c r="A4296" s="7"/>
    </row>
    <row r="4297" spans="1:1" x14ac:dyDescent="0.25">
      <c r="A4297" s="7"/>
    </row>
    <row r="4298" spans="1:1" x14ac:dyDescent="0.25">
      <c r="A4298" s="7"/>
    </row>
    <row r="4299" spans="1:1" x14ac:dyDescent="0.25">
      <c r="A4299" s="7"/>
    </row>
    <row r="4300" spans="1:1" x14ac:dyDescent="0.25">
      <c r="A4300" s="7"/>
    </row>
    <row r="4301" spans="1:1" x14ac:dyDescent="0.25">
      <c r="A4301" s="7"/>
    </row>
    <row r="4302" spans="1:1" x14ac:dyDescent="0.25">
      <c r="A4302" s="7"/>
    </row>
    <row r="4303" spans="1:1" x14ac:dyDescent="0.25">
      <c r="A4303" s="7"/>
    </row>
    <row r="4304" spans="1:1" x14ac:dyDescent="0.25">
      <c r="A4304" s="7"/>
    </row>
    <row r="4305" spans="1:1" x14ac:dyDescent="0.25">
      <c r="A4305" s="7"/>
    </row>
    <row r="4306" spans="1:1" x14ac:dyDescent="0.25">
      <c r="A4306" s="7"/>
    </row>
    <row r="4307" spans="1:1" x14ac:dyDescent="0.25">
      <c r="A4307" s="7"/>
    </row>
    <row r="4308" spans="1:1" x14ac:dyDescent="0.25">
      <c r="A4308" s="7"/>
    </row>
    <row r="4309" spans="1:1" x14ac:dyDescent="0.25">
      <c r="A4309" s="7"/>
    </row>
    <row r="4310" spans="1:1" x14ac:dyDescent="0.25">
      <c r="A4310" s="7"/>
    </row>
    <row r="4311" spans="1:1" x14ac:dyDescent="0.25">
      <c r="A4311" s="7"/>
    </row>
    <row r="4312" spans="1:1" x14ac:dyDescent="0.25">
      <c r="A4312" s="7"/>
    </row>
    <row r="4313" spans="1:1" x14ac:dyDescent="0.25">
      <c r="A4313" s="7"/>
    </row>
    <row r="4314" spans="1:1" x14ac:dyDescent="0.25">
      <c r="A4314" s="7"/>
    </row>
    <row r="4315" spans="1:1" x14ac:dyDescent="0.25">
      <c r="A4315" s="7"/>
    </row>
    <row r="4316" spans="1:1" x14ac:dyDescent="0.25">
      <c r="A4316" s="7"/>
    </row>
    <row r="4317" spans="1:1" x14ac:dyDescent="0.25">
      <c r="A4317" s="7"/>
    </row>
    <row r="4318" spans="1:1" x14ac:dyDescent="0.25">
      <c r="A4318" s="7"/>
    </row>
    <row r="4319" spans="1:1" x14ac:dyDescent="0.25">
      <c r="A4319" s="7"/>
    </row>
    <row r="4320" spans="1:1" x14ac:dyDescent="0.25">
      <c r="A4320" s="7"/>
    </row>
    <row r="4321" spans="1:1" x14ac:dyDescent="0.25">
      <c r="A4321" s="7"/>
    </row>
    <row r="4322" spans="1:1" x14ac:dyDescent="0.25">
      <c r="A4322" s="7"/>
    </row>
    <row r="4323" spans="1:1" x14ac:dyDescent="0.25">
      <c r="A4323" s="7"/>
    </row>
    <row r="4324" spans="1:1" x14ac:dyDescent="0.25">
      <c r="A4324" s="7"/>
    </row>
    <row r="4325" spans="1:1" x14ac:dyDescent="0.25">
      <c r="A4325" s="7"/>
    </row>
    <row r="4326" spans="1:1" x14ac:dyDescent="0.25">
      <c r="A4326" s="7"/>
    </row>
    <row r="4327" spans="1:1" x14ac:dyDescent="0.25">
      <c r="A4327" s="7"/>
    </row>
    <row r="4328" spans="1:1" x14ac:dyDescent="0.25">
      <c r="A4328" s="7"/>
    </row>
    <row r="4329" spans="1:1" x14ac:dyDescent="0.25">
      <c r="A4329" s="7"/>
    </row>
    <row r="4330" spans="1:1" x14ac:dyDescent="0.25">
      <c r="A4330" s="7"/>
    </row>
    <row r="4331" spans="1:1" x14ac:dyDescent="0.25">
      <c r="A4331" s="7"/>
    </row>
    <row r="4332" spans="1:1" x14ac:dyDescent="0.25">
      <c r="A4332" s="7"/>
    </row>
    <row r="4333" spans="1:1" x14ac:dyDescent="0.25">
      <c r="A4333" s="7"/>
    </row>
    <row r="4334" spans="1:1" x14ac:dyDescent="0.25">
      <c r="A4334" s="7"/>
    </row>
    <row r="4335" spans="1:1" x14ac:dyDescent="0.25">
      <c r="A4335" s="7"/>
    </row>
    <row r="4336" spans="1:1" x14ac:dyDescent="0.25">
      <c r="A4336" s="7"/>
    </row>
    <row r="4337" spans="1:1" x14ac:dyDescent="0.25">
      <c r="A4337" s="7"/>
    </row>
    <row r="4338" spans="1:1" x14ac:dyDescent="0.25">
      <c r="A4338" s="7"/>
    </row>
    <row r="4339" spans="1:1" x14ac:dyDescent="0.25">
      <c r="A4339" s="7"/>
    </row>
    <row r="4340" spans="1:1" x14ac:dyDescent="0.25">
      <c r="A4340" s="7"/>
    </row>
    <row r="4341" spans="1:1" x14ac:dyDescent="0.25">
      <c r="A4341" s="7"/>
    </row>
    <row r="4342" spans="1:1" x14ac:dyDescent="0.25">
      <c r="A4342" s="7"/>
    </row>
    <row r="4343" spans="1:1" x14ac:dyDescent="0.25">
      <c r="A4343" s="7"/>
    </row>
    <row r="4344" spans="1:1" x14ac:dyDescent="0.25">
      <c r="A4344" s="7"/>
    </row>
    <row r="4345" spans="1:1" x14ac:dyDescent="0.25">
      <c r="A4345" s="7"/>
    </row>
    <row r="4346" spans="1:1" x14ac:dyDescent="0.25">
      <c r="A4346" s="7"/>
    </row>
    <row r="4347" spans="1:1" x14ac:dyDescent="0.25">
      <c r="A4347" s="7"/>
    </row>
    <row r="4348" spans="1:1" x14ac:dyDescent="0.25">
      <c r="A4348" s="7"/>
    </row>
    <row r="4349" spans="1:1" x14ac:dyDescent="0.25">
      <c r="A4349" s="7"/>
    </row>
    <row r="4350" spans="1:1" x14ac:dyDescent="0.25">
      <c r="A4350" s="7"/>
    </row>
    <row r="4351" spans="1:1" x14ac:dyDescent="0.25">
      <c r="A4351" s="7"/>
    </row>
    <row r="4352" spans="1:1" x14ac:dyDescent="0.25">
      <c r="A4352" s="7"/>
    </row>
    <row r="4353" spans="1:1" x14ac:dyDescent="0.25">
      <c r="A4353" s="7"/>
    </row>
    <row r="4354" spans="1:1" x14ac:dyDescent="0.25">
      <c r="A4354" s="7"/>
    </row>
    <row r="4355" spans="1:1" x14ac:dyDescent="0.25">
      <c r="A4355" s="7"/>
    </row>
    <row r="4356" spans="1:1" x14ac:dyDescent="0.25">
      <c r="A4356" s="7"/>
    </row>
    <row r="4357" spans="1:1" x14ac:dyDescent="0.25">
      <c r="A4357" s="7"/>
    </row>
    <row r="4358" spans="1:1" x14ac:dyDescent="0.25">
      <c r="A4358" s="7"/>
    </row>
    <row r="4359" spans="1:1" x14ac:dyDescent="0.25">
      <c r="A4359" s="7"/>
    </row>
    <row r="4360" spans="1:1" x14ac:dyDescent="0.25">
      <c r="A4360" s="7"/>
    </row>
    <row r="4361" spans="1:1" x14ac:dyDescent="0.25">
      <c r="A4361" s="7"/>
    </row>
    <row r="4362" spans="1:1" x14ac:dyDescent="0.25">
      <c r="A4362" s="7"/>
    </row>
    <row r="4363" spans="1:1" x14ac:dyDescent="0.25">
      <c r="A4363" s="7"/>
    </row>
    <row r="4364" spans="1:1" x14ac:dyDescent="0.25">
      <c r="A4364" s="7"/>
    </row>
    <row r="4365" spans="1:1" x14ac:dyDescent="0.25">
      <c r="A4365" s="7"/>
    </row>
    <row r="4366" spans="1:1" x14ac:dyDescent="0.25">
      <c r="A4366" s="7"/>
    </row>
    <row r="4367" spans="1:1" x14ac:dyDescent="0.25">
      <c r="A4367" s="7"/>
    </row>
    <row r="4368" spans="1:1" x14ac:dyDescent="0.25">
      <c r="A4368" s="7"/>
    </row>
    <row r="4369" spans="1:1" x14ac:dyDescent="0.25">
      <c r="A4369" s="7"/>
    </row>
    <row r="4370" spans="1:1" x14ac:dyDescent="0.25">
      <c r="A4370" s="7"/>
    </row>
    <row r="4371" spans="1:1" x14ac:dyDescent="0.25">
      <c r="A4371" s="7"/>
    </row>
    <row r="4372" spans="1:1" x14ac:dyDescent="0.25">
      <c r="A4372" s="7"/>
    </row>
    <row r="4373" spans="1:1" x14ac:dyDescent="0.25">
      <c r="A4373" s="7"/>
    </row>
    <row r="4374" spans="1:1" x14ac:dyDescent="0.25">
      <c r="A4374" s="7"/>
    </row>
    <row r="4375" spans="1:1" x14ac:dyDescent="0.25">
      <c r="A4375" s="7"/>
    </row>
    <row r="4376" spans="1:1" x14ac:dyDescent="0.25">
      <c r="A4376" s="7"/>
    </row>
    <row r="4377" spans="1:1" x14ac:dyDescent="0.25">
      <c r="A4377" s="7"/>
    </row>
    <row r="4378" spans="1:1" x14ac:dyDescent="0.25">
      <c r="A4378" s="7"/>
    </row>
    <row r="4379" spans="1:1" x14ac:dyDescent="0.25">
      <c r="A4379" s="7"/>
    </row>
    <row r="4380" spans="1:1" x14ac:dyDescent="0.25">
      <c r="A4380" s="7"/>
    </row>
    <row r="4381" spans="1:1" x14ac:dyDescent="0.25">
      <c r="A4381" s="7"/>
    </row>
    <row r="4382" spans="1:1" x14ac:dyDescent="0.25">
      <c r="A4382" s="7"/>
    </row>
    <row r="4383" spans="1:1" x14ac:dyDescent="0.25">
      <c r="A4383" s="7"/>
    </row>
    <row r="4384" spans="1:1" x14ac:dyDescent="0.25">
      <c r="A4384" s="7"/>
    </row>
    <row r="4385" spans="1:1" x14ac:dyDescent="0.25">
      <c r="A4385" s="7"/>
    </row>
    <row r="4386" spans="1:1" x14ac:dyDescent="0.25">
      <c r="A4386" s="7"/>
    </row>
    <row r="4387" spans="1:1" x14ac:dyDescent="0.25">
      <c r="A4387" s="7"/>
    </row>
    <row r="4388" spans="1:1" x14ac:dyDescent="0.25">
      <c r="A4388" s="7"/>
    </row>
    <row r="4389" spans="1:1" x14ac:dyDescent="0.25">
      <c r="A4389" s="7"/>
    </row>
    <row r="4390" spans="1:1" x14ac:dyDescent="0.25">
      <c r="A4390" s="7"/>
    </row>
    <row r="4391" spans="1:1" x14ac:dyDescent="0.25">
      <c r="A4391" s="7"/>
    </row>
    <row r="4392" spans="1:1" x14ac:dyDescent="0.25">
      <c r="A4392" s="7"/>
    </row>
    <row r="4393" spans="1:1" x14ac:dyDescent="0.25">
      <c r="A4393" s="7"/>
    </row>
    <row r="4394" spans="1:1" x14ac:dyDescent="0.25">
      <c r="A4394" s="7"/>
    </row>
    <row r="4395" spans="1:1" x14ac:dyDescent="0.25">
      <c r="A4395" s="7"/>
    </row>
    <row r="4396" spans="1:1" x14ac:dyDescent="0.25">
      <c r="A4396" s="7"/>
    </row>
    <row r="4397" spans="1:1" x14ac:dyDescent="0.25">
      <c r="A4397" s="7"/>
    </row>
    <row r="4398" spans="1:1" x14ac:dyDescent="0.25">
      <c r="A4398" s="7"/>
    </row>
    <row r="4399" spans="1:1" x14ac:dyDescent="0.25">
      <c r="A4399" s="7"/>
    </row>
    <row r="4400" spans="1:1" x14ac:dyDescent="0.25">
      <c r="A4400" s="7"/>
    </row>
    <row r="4401" spans="1:1" x14ac:dyDescent="0.25">
      <c r="A4401" s="7"/>
    </row>
    <row r="4402" spans="1:1" x14ac:dyDescent="0.25">
      <c r="A4402" s="7"/>
    </row>
    <row r="4403" spans="1:1" x14ac:dyDescent="0.25">
      <c r="A4403" s="7"/>
    </row>
    <row r="4404" spans="1:1" x14ac:dyDescent="0.25">
      <c r="A4404" s="7"/>
    </row>
    <row r="4405" spans="1:1" x14ac:dyDescent="0.25">
      <c r="A4405" s="7"/>
    </row>
    <row r="4406" spans="1:1" x14ac:dyDescent="0.25">
      <c r="A4406" s="7"/>
    </row>
    <row r="4407" spans="1:1" x14ac:dyDescent="0.25">
      <c r="A4407" s="7"/>
    </row>
    <row r="4408" spans="1:1" x14ac:dyDescent="0.25">
      <c r="A4408" s="7"/>
    </row>
    <row r="4409" spans="1:1" x14ac:dyDescent="0.25">
      <c r="A4409" s="7"/>
    </row>
    <row r="4410" spans="1:1" x14ac:dyDescent="0.25">
      <c r="A4410" s="7"/>
    </row>
    <row r="4411" spans="1:1" x14ac:dyDescent="0.25">
      <c r="A4411" s="7"/>
    </row>
    <row r="4412" spans="1:1" x14ac:dyDescent="0.25">
      <c r="A4412" s="7"/>
    </row>
    <row r="4413" spans="1:1" x14ac:dyDescent="0.25">
      <c r="A4413" s="7"/>
    </row>
    <row r="4414" spans="1:1" x14ac:dyDescent="0.25">
      <c r="A4414" s="7"/>
    </row>
    <row r="4415" spans="1:1" x14ac:dyDescent="0.25">
      <c r="A4415" s="7"/>
    </row>
    <row r="4416" spans="1:1" x14ac:dyDescent="0.25">
      <c r="A4416" s="7"/>
    </row>
    <row r="4417" spans="1:1" x14ac:dyDescent="0.25">
      <c r="A4417" s="7"/>
    </row>
    <row r="4418" spans="1:1" x14ac:dyDescent="0.25">
      <c r="A4418" s="7"/>
    </row>
    <row r="4419" spans="1:1" x14ac:dyDescent="0.25">
      <c r="A4419" s="7"/>
    </row>
    <row r="4420" spans="1:1" x14ac:dyDescent="0.25">
      <c r="A4420" s="7"/>
    </row>
    <row r="4421" spans="1:1" x14ac:dyDescent="0.25">
      <c r="A4421" s="7"/>
    </row>
    <row r="4422" spans="1:1" x14ac:dyDescent="0.25">
      <c r="A4422" s="7"/>
    </row>
    <row r="4423" spans="1:1" x14ac:dyDescent="0.25">
      <c r="A4423" s="7"/>
    </row>
    <row r="4424" spans="1:1" x14ac:dyDescent="0.25">
      <c r="A4424" s="7"/>
    </row>
    <row r="4425" spans="1:1" x14ac:dyDescent="0.25">
      <c r="A4425" s="7"/>
    </row>
    <row r="4426" spans="1:1" x14ac:dyDescent="0.25">
      <c r="A4426" s="7"/>
    </row>
    <row r="4427" spans="1:1" x14ac:dyDescent="0.25">
      <c r="A4427" s="7"/>
    </row>
    <row r="4428" spans="1:1" x14ac:dyDescent="0.25">
      <c r="A4428" s="7"/>
    </row>
    <row r="4429" spans="1:1" x14ac:dyDescent="0.25">
      <c r="A4429" s="7"/>
    </row>
    <row r="4430" spans="1:1" x14ac:dyDescent="0.25">
      <c r="A4430" s="7"/>
    </row>
    <row r="4431" spans="1:1" x14ac:dyDescent="0.25">
      <c r="A4431" s="7"/>
    </row>
    <row r="4432" spans="1:1" x14ac:dyDescent="0.25">
      <c r="A4432" s="7"/>
    </row>
    <row r="4433" spans="1:1" x14ac:dyDescent="0.25">
      <c r="A4433" s="7"/>
    </row>
    <row r="4434" spans="1:1" x14ac:dyDescent="0.25">
      <c r="A4434" s="7"/>
    </row>
    <row r="4435" spans="1:1" x14ac:dyDescent="0.25">
      <c r="A4435" s="7"/>
    </row>
    <row r="4436" spans="1:1" x14ac:dyDescent="0.25">
      <c r="A4436" s="7"/>
    </row>
    <row r="4437" spans="1:1" x14ac:dyDescent="0.25">
      <c r="A4437" s="7"/>
    </row>
    <row r="4438" spans="1:1" x14ac:dyDescent="0.25">
      <c r="A4438" s="7"/>
    </row>
    <row r="4439" spans="1:1" x14ac:dyDescent="0.25">
      <c r="A4439" s="7"/>
    </row>
    <row r="4440" spans="1:1" x14ac:dyDescent="0.25">
      <c r="A4440" s="7"/>
    </row>
    <row r="4441" spans="1:1" x14ac:dyDescent="0.25">
      <c r="A4441" s="7"/>
    </row>
    <row r="4442" spans="1:1" x14ac:dyDescent="0.25">
      <c r="A4442" s="7"/>
    </row>
    <row r="4443" spans="1:1" x14ac:dyDescent="0.25">
      <c r="A4443" s="7"/>
    </row>
    <row r="4444" spans="1:1" x14ac:dyDescent="0.25">
      <c r="A4444" s="7"/>
    </row>
    <row r="4445" spans="1:1" x14ac:dyDescent="0.25">
      <c r="A4445" s="7"/>
    </row>
    <row r="4446" spans="1:1" x14ac:dyDescent="0.25">
      <c r="A4446" s="7"/>
    </row>
    <row r="4447" spans="1:1" x14ac:dyDescent="0.25">
      <c r="A4447" s="7"/>
    </row>
    <row r="4448" spans="1:1" x14ac:dyDescent="0.25">
      <c r="A4448" s="7"/>
    </row>
    <row r="4449" spans="1:1" x14ac:dyDescent="0.25">
      <c r="A4449" s="7"/>
    </row>
    <row r="4450" spans="1:1" x14ac:dyDescent="0.25">
      <c r="A4450" s="7"/>
    </row>
    <row r="4451" spans="1:1" x14ac:dyDescent="0.25">
      <c r="A4451" s="7"/>
    </row>
    <row r="4452" spans="1:1" x14ac:dyDescent="0.25">
      <c r="A4452" s="7"/>
    </row>
    <row r="4453" spans="1:1" x14ac:dyDescent="0.25">
      <c r="A4453" s="7"/>
    </row>
    <row r="4454" spans="1:1" x14ac:dyDescent="0.25">
      <c r="A4454" s="7"/>
    </row>
    <row r="4455" spans="1:1" x14ac:dyDescent="0.25">
      <c r="A4455" s="7"/>
    </row>
    <row r="4456" spans="1:1" x14ac:dyDescent="0.25">
      <c r="A4456" s="7"/>
    </row>
    <row r="4457" spans="1:1" x14ac:dyDescent="0.25">
      <c r="A4457" s="7"/>
    </row>
    <row r="4458" spans="1:1" x14ac:dyDescent="0.25">
      <c r="A4458" s="7"/>
    </row>
    <row r="4459" spans="1:1" x14ac:dyDescent="0.25">
      <c r="A4459" s="7"/>
    </row>
    <row r="4460" spans="1:1" x14ac:dyDescent="0.25">
      <c r="A4460" s="7"/>
    </row>
    <row r="4461" spans="1:1" x14ac:dyDescent="0.25">
      <c r="A4461" s="7"/>
    </row>
    <row r="4462" spans="1:1" x14ac:dyDescent="0.25">
      <c r="A4462" s="7"/>
    </row>
    <row r="4463" spans="1:1" x14ac:dyDescent="0.25">
      <c r="A4463" s="7"/>
    </row>
    <row r="4464" spans="1:1" x14ac:dyDescent="0.25">
      <c r="A4464" s="7"/>
    </row>
    <row r="4465" spans="1:1" x14ac:dyDescent="0.25">
      <c r="A4465" s="7"/>
    </row>
    <row r="4466" spans="1:1" x14ac:dyDescent="0.25">
      <c r="A4466" s="7"/>
    </row>
    <row r="4467" spans="1:1" x14ac:dyDescent="0.25">
      <c r="A4467" s="7"/>
    </row>
    <row r="4468" spans="1:1" x14ac:dyDescent="0.25">
      <c r="A4468" s="7"/>
    </row>
    <row r="4469" spans="1:1" x14ac:dyDescent="0.25">
      <c r="A4469" s="7"/>
    </row>
    <row r="4470" spans="1:1" x14ac:dyDescent="0.25">
      <c r="A4470" s="7"/>
    </row>
    <row r="4471" spans="1:1" x14ac:dyDescent="0.25">
      <c r="A4471" s="7"/>
    </row>
    <row r="4472" spans="1:1" x14ac:dyDescent="0.25">
      <c r="A4472" s="7"/>
    </row>
    <row r="4473" spans="1:1" x14ac:dyDescent="0.25">
      <c r="A4473" s="7"/>
    </row>
    <row r="4474" spans="1:1" x14ac:dyDescent="0.25">
      <c r="A4474" s="7"/>
    </row>
    <row r="4475" spans="1:1" x14ac:dyDescent="0.25">
      <c r="A4475" s="7"/>
    </row>
    <row r="4476" spans="1:1" x14ac:dyDescent="0.25">
      <c r="A4476" s="7"/>
    </row>
    <row r="4477" spans="1:1" x14ac:dyDescent="0.25">
      <c r="A4477" s="7"/>
    </row>
    <row r="4478" spans="1:1" x14ac:dyDescent="0.25">
      <c r="A4478" s="7"/>
    </row>
    <row r="4479" spans="1:1" x14ac:dyDescent="0.25">
      <c r="A4479" s="7"/>
    </row>
    <row r="4480" spans="1:1" x14ac:dyDescent="0.25">
      <c r="A4480" s="7"/>
    </row>
    <row r="4481" spans="1:1" x14ac:dyDescent="0.25">
      <c r="A4481" s="7"/>
    </row>
    <row r="4482" spans="1:1" x14ac:dyDescent="0.25">
      <c r="A4482" s="7"/>
    </row>
    <row r="4483" spans="1:1" x14ac:dyDescent="0.25">
      <c r="A4483" s="7"/>
    </row>
    <row r="4484" spans="1:1" x14ac:dyDescent="0.25">
      <c r="A4484" s="7"/>
    </row>
    <row r="4485" spans="1:1" x14ac:dyDescent="0.25">
      <c r="A4485" s="7"/>
    </row>
    <row r="4486" spans="1:1" x14ac:dyDescent="0.25">
      <c r="A4486" s="7"/>
    </row>
    <row r="4487" spans="1:1" x14ac:dyDescent="0.25">
      <c r="A4487" s="7"/>
    </row>
    <row r="4488" spans="1:1" x14ac:dyDescent="0.25">
      <c r="A4488" s="7"/>
    </row>
    <row r="4489" spans="1:1" x14ac:dyDescent="0.25">
      <c r="A4489" s="7"/>
    </row>
    <row r="4490" spans="1:1" x14ac:dyDescent="0.25">
      <c r="A4490" s="7"/>
    </row>
    <row r="4491" spans="1:1" x14ac:dyDescent="0.25">
      <c r="A4491" s="7"/>
    </row>
    <row r="4492" spans="1:1" x14ac:dyDescent="0.25">
      <c r="A4492" s="7"/>
    </row>
    <row r="4493" spans="1:1" x14ac:dyDescent="0.25">
      <c r="A4493" s="7"/>
    </row>
    <row r="4494" spans="1:1" x14ac:dyDescent="0.25">
      <c r="A4494" s="7"/>
    </row>
    <row r="4495" spans="1:1" x14ac:dyDescent="0.25">
      <c r="A4495" s="7"/>
    </row>
    <row r="4496" spans="1:1" x14ac:dyDescent="0.25">
      <c r="A4496" s="7"/>
    </row>
    <row r="4497" spans="1:1" x14ac:dyDescent="0.25">
      <c r="A4497" s="7"/>
    </row>
    <row r="4498" spans="1:1" x14ac:dyDescent="0.25">
      <c r="A4498" s="7"/>
    </row>
    <row r="4499" spans="1:1" x14ac:dyDescent="0.25">
      <c r="A4499" s="7"/>
    </row>
    <row r="4500" spans="1:1" x14ac:dyDescent="0.25">
      <c r="A4500" s="7"/>
    </row>
    <row r="4501" spans="1:1" x14ac:dyDescent="0.25">
      <c r="A4501" s="7"/>
    </row>
    <row r="4502" spans="1:1" x14ac:dyDescent="0.25">
      <c r="A4502" s="7"/>
    </row>
    <row r="4503" spans="1:1" x14ac:dyDescent="0.25">
      <c r="A4503" s="7"/>
    </row>
    <row r="4504" spans="1:1" x14ac:dyDescent="0.25">
      <c r="A4504" s="7"/>
    </row>
    <row r="4505" spans="1:1" x14ac:dyDescent="0.25">
      <c r="A4505" s="7"/>
    </row>
    <row r="4506" spans="1:1" x14ac:dyDescent="0.25">
      <c r="A4506" s="7"/>
    </row>
    <row r="4507" spans="1:1" x14ac:dyDescent="0.25">
      <c r="A4507" s="7"/>
    </row>
    <row r="4508" spans="1:1" x14ac:dyDescent="0.25">
      <c r="A4508" s="7"/>
    </row>
    <row r="4509" spans="1:1" x14ac:dyDescent="0.25">
      <c r="A4509" s="7"/>
    </row>
    <row r="4510" spans="1:1" x14ac:dyDescent="0.25">
      <c r="A4510" s="7"/>
    </row>
    <row r="4511" spans="1:1" x14ac:dyDescent="0.25">
      <c r="A4511" s="7"/>
    </row>
    <row r="4512" spans="1:1" x14ac:dyDescent="0.25">
      <c r="A4512" s="7"/>
    </row>
    <row r="4513" spans="1:1" x14ac:dyDescent="0.25">
      <c r="A4513" s="7"/>
    </row>
    <row r="4514" spans="1:1" x14ac:dyDescent="0.25">
      <c r="A4514" s="7"/>
    </row>
    <row r="4515" spans="1:1" x14ac:dyDescent="0.25">
      <c r="A4515" s="7"/>
    </row>
    <row r="4516" spans="1:1" x14ac:dyDescent="0.25">
      <c r="A4516" s="7"/>
    </row>
    <row r="4517" spans="1:1" x14ac:dyDescent="0.25">
      <c r="A4517" s="7"/>
    </row>
    <row r="4518" spans="1:1" x14ac:dyDescent="0.25">
      <c r="A4518" s="7"/>
    </row>
    <row r="4519" spans="1:1" x14ac:dyDescent="0.25">
      <c r="A4519" s="7"/>
    </row>
    <row r="4520" spans="1:1" x14ac:dyDescent="0.25">
      <c r="A4520" s="7"/>
    </row>
    <row r="4521" spans="1:1" x14ac:dyDescent="0.25">
      <c r="A4521" s="7"/>
    </row>
    <row r="4522" spans="1:1" x14ac:dyDescent="0.25">
      <c r="A4522" s="7"/>
    </row>
    <row r="4523" spans="1:1" x14ac:dyDescent="0.25">
      <c r="A4523" s="7"/>
    </row>
    <row r="4524" spans="1:1" x14ac:dyDescent="0.25">
      <c r="A4524" s="7"/>
    </row>
    <row r="4525" spans="1:1" x14ac:dyDescent="0.25">
      <c r="A4525" s="7"/>
    </row>
    <row r="4526" spans="1:1" x14ac:dyDescent="0.25">
      <c r="A4526" s="7"/>
    </row>
    <row r="4527" spans="1:1" x14ac:dyDescent="0.25">
      <c r="A4527" s="7"/>
    </row>
    <row r="4528" spans="1:1" x14ac:dyDescent="0.25">
      <c r="A4528" s="7"/>
    </row>
    <row r="4529" spans="1:1" x14ac:dyDescent="0.25">
      <c r="A4529" s="7"/>
    </row>
    <row r="4530" spans="1:1" x14ac:dyDescent="0.25">
      <c r="A4530" s="7"/>
    </row>
    <row r="4531" spans="1:1" x14ac:dyDescent="0.25">
      <c r="A4531" s="7"/>
    </row>
    <row r="4532" spans="1:1" x14ac:dyDescent="0.25">
      <c r="A4532" s="7"/>
    </row>
    <row r="4533" spans="1:1" x14ac:dyDescent="0.25">
      <c r="A4533" s="7"/>
    </row>
    <row r="4534" spans="1:1" x14ac:dyDescent="0.25">
      <c r="A4534" s="7"/>
    </row>
    <row r="4535" spans="1:1" x14ac:dyDescent="0.25">
      <c r="A4535" s="7"/>
    </row>
    <row r="4536" spans="1:1" x14ac:dyDescent="0.25">
      <c r="A4536" s="7"/>
    </row>
    <row r="4537" spans="1:1" x14ac:dyDescent="0.25">
      <c r="A4537" s="7"/>
    </row>
    <row r="4538" spans="1:1" x14ac:dyDescent="0.25">
      <c r="A4538" s="7"/>
    </row>
    <row r="4539" spans="1:1" x14ac:dyDescent="0.25">
      <c r="A4539" s="7"/>
    </row>
    <row r="4540" spans="1:1" x14ac:dyDescent="0.25">
      <c r="A4540" s="7"/>
    </row>
    <row r="4541" spans="1:1" x14ac:dyDescent="0.25">
      <c r="A4541" s="7"/>
    </row>
    <row r="4542" spans="1:1" x14ac:dyDescent="0.25">
      <c r="A4542" s="7"/>
    </row>
    <row r="4543" spans="1:1" x14ac:dyDescent="0.25">
      <c r="A4543" s="7"/>
    </row>
    <row r="4544" spans="1:1" x14ac:dyDescent="0.25">
      <c r="A4544" s="7"/>
    </row>
    <row r="4545" spans="1:1" x14ac:dyDescent="0.25">
      <c r="A4545" s="7"/>
    </row>
    <row r="4546" spans="1:1" x14ac:dyDescent="0.25">
      <c r="A4546" s="7"/>
    </row>
    <row r="4547" spans="1:1" x14ac:dyDescent="0.25">
      <c r="A4547" s="7"/>
    </row>
    <row r="4548" spans="1:1" x14ac:dyDescent="0.25">
      <c r="A4548" s="7"/>
    </row>
    <row r="4549" spans="1:1" x14ac:dyDescent="0.25">
      <c r="A4549" s="7"/>
    </row>
    <row r="4550" spans="1:1" x14ac:dyDescent="0.25">
      <c r="A4550" s="7"/>
    </row>
    <row r="4551" spans="1:1" x14ac:dyDescent="0.25">
      <c r="A4551" s="7"/>
    </row>
    <row r="4552" spans="1:1" x14ac:dyDescent="0.25">
      <c r="A4552" s="7"/>
    </row>
    <row r="4553" spans="1:1" x14ac:dyDescent="0.25">
      <c r="A4553" s="7"/>
    </row>
    <row r="4554" spans="1:1" x14ac:dyDescent="0.25">
      <c r="A4554" s="7"/>
    </row>
    <row r="4555" spans="1:1" x14ac:dyDescent="0.25">
      <c r="A4555" s="7"/>
    </row>
    <row r="4556" spans="1:1" x14ac:dyDescent="0.25">
      <c r="A4556" s="7"/>
    </row>
    <row r="4557" spans="1:1" x14ac:dyDescent="0.25">
      <c r="A4557" s="7"/>
    </row>
    <row r="4558" spans="1:1" x14ac:dyDescent="0.25">
      <c r="A4558" s="7"/>
    </row>
    <row r="4559" spans="1:1" x14ac:dyDescent="0.25">
      <c r="A4559" s="7"/>
    </row>
    <row r="4560" spans="1:1" x14ac:dyDescent="0.25">
      <c r="A4560" s="7"/>
    </row>
    <row r="4561" spans="1:1" x14ac:dyDescent="0.25">
      <c r="A4561" s="7"/>
    </row>
    <row r="4562" spans="1:1" x14ac:dyDescent="0.25">
      <c r="A4562" s="7"/>
    </row>
    <row r="4563" spans="1:1" x14ac:dyDescent="0.25">
      <c r="A4563" s="7"/>
    </row>
    <row r="4564" spans="1:1" x14ac:dyDescent="0.25">
      <c r="A4564" s="7"/>
    </row>
    <row r="4565" spans="1:1" x14ac:dyDescent="0.25">
      <c r="A4565" s="7"/>
    </row>
    <row r="4566" spans="1:1" x14ac:dyDescent="0.25">
      <c r="A4566" s="7"/>
    </row>
    <row r="4567" spans="1:1" x14ac:dyDescent="0.25">
      <c r="A4567" s="7"/>
    </row>
    <row r="4568" spans="1:1" x14ac:dyDescent="0.25">
      <c r="A4568" s="7"/>
    </row>
    <row r="4569" spans="1:1" x14ac:dyDescent="0.25">
      <c r="A4569" s="7"/>
    </row>
    <row r="4570" spans="1:1" x14ac:dyDescent="0.25">
      <c r="A4570" s="7"/>
    </row>
    <row r="4571" spans="1:1" x14ac:dyDescent="0.25">
      <c r="A4571" s="7"/>
    </row>
    <row r="4572" spans="1:1" x14ac:dyDescent="0.25">
      <c r="A4572" s="7"/>
    </row>
    <row r="4573" spans="1:1" x14ac:dyDescent="0.25">
      <c r="A4573" s="7"/>
    </row>
    <row r="4574" spans="1:1" x14ac:dyDescent="0.25">
      <c r="A4574" s="7"/>
    </row>
    <row r="4575" spans="1:1" x14ac:dyDescent="0.25">
      <c r="A4575" s="7"/>
    </row>
    <row r="4576" spans="1:1" x14ac:dyDescent="0.25">
      <c r="A4576" s="7"/>
    </row>
    <row r="4577" spans="1:1" x14ac:dyDescent="0.25">
      <c r="A4577" s="7"/>
    </row>
    <row r="4578" spans="1:1" x14ac:dyDescent="0.25">
      <c r="A4578" s="7"/>
    </row>
    <row r="4579" spans="1:1" x14ac:dyDescent="0.25">
      <c r="A4579" s="7"/>
    </row>
    <row r="4580" spans="1:1" x14ac:dyDescent="0.25">
      <c r="A4580" s="7"/>
    </row>
    <row r="4581" spans="1:1" x14ac:dyDescent="0.25">
      <c r="A4581" s="7"/>
    </row>
    <row r="4582" spans="1:1" x14ac:dyDescent="0.25">
      <c r="A4582" s="7"/>
    </row>
    <row r="4583" spans="1:1" x14ac:dyDescent="0.25">
      <c r="A4583" s="7"/>
    </row>
    <row r="4584" spans="1:1" x14ac:dyDescent="0.25">
      <c r="A4584" s="7"/>
    </row>
    <row r="4585" spans="1:1" x14ac:dyDescent="0.25">
      <c r="A4585" s="7"/>
    </row>
    <row r="4586" spans="1:1" x14ac:dyDescent="0.25">
      <c r="A4586" s="7"/>
    </row>
    <row r="4587" spans="1:1" x14ac:dyDescent="0.25">
      <c r="A4587" s="7"/>
    </row>
    <row r="4588" spans="1:1" x14ac:dyDescent="0.25">
      <c r="A4588" s="7"/>
    </row>
    <row r="4589" spans="1:1" x14ac:dyDescent="0.25">
      <c r="A4589" s="7"/>
    </row>
    <row r="4590" spans="1:1" x14ac:dyDescent="0.25">
      <c r="A4590" s="7"/>
    </row>
    <row r="4591" spans="1:1" x14ac:dyDescent="0.25">
      <c r="A4591" s="7"/>
    </row>
    <row r="4592" spans="1:1" x14ac:dyDescent="0.25">
      <c r="A4592" s="7"/>
    </row>
    <row r="4593" spans="1:1" x14ac:dyDescent="0.25">
      <c r="A4593" s="7"/>
    </row>
    <row r="4594" spans="1:1" x14ac:dyDescent="0.25">
      <c r="A4594" s="7"/>
    </row>
    <row r="4595" spans="1:1" x14ac:dyDescent="0.25">
      <c r="A4595" s="7"/>
    </row>
    <row r="4596" spans="1:1" x14ac:dyDescent="0.25">
      <c r="A4596" s="7"/>
    </row>
    <row r="4597" spans="1:1" x14ac:dyDescent="0.25">
      <c r="A4597" s="7"/>
    </row>
    <row r="4598" spans="1:1" x14ac:dyDescent="0.25">
      <c r="A4598" s="7"/>
    </row>
    <row r="4599" spans="1:1" x14ac:dyDescent="0.25">
      <c r="A4599" s="7"/>
    </row>
    <row r="4600" spans="1:1" x14ac:dyDescent="0.25">
      <c r="A4600" s="7"/>
    </row>
    <row r="4601" spans="1:1" x14ac:dyDescent="0.25">
      <c r="A4601" s="7"/>
    </row>
    <row r="4602" spans="1:1" x14ac:dyDescent="0.25">
      <c r="A4602" s="7"/>
    </row>
    <row r="4603" spans="1:1" x14ac:dyDescent="0.25">
      <c r="A4603" s="7"/>
    </row>
    <row r="4604" spans="1:1" x14ac:dyDescent="0.25">
      <c r="A4604" s="7"/>
    </row>
    <row r="4605" spans="1:1" x14ac:dyDescent="0.25">
      <c r="A4605" s="7"/>
    </row>
    <row r="4606" spans="1:1" x14ac:dyDescent="0.25">
      <c r="A4606" s="7"/>
    </row>
    <row r="4607" spans="1:1" x14ac:dyDescent="0.25">
      <c r="A4607" s="7"/>
    </row>
    <row r="4608" spans="1:1" x14ac:dyDescent="0.25">
      <c r="A4608" s="7"/>
    </row>
    <row r="4609" spans="1:1" x14ac:dyDescent="0.25">
      <c r="A4609" s="7"/>
    </row>
    <row r="4610" spans="1:1" x14ac:dyDescent="0.25">
      <c r="A4610" s="7"/>
    </row>
    <row r="4611" spans="1:1" x14ac:dyDescent="0.25">
      <c r="A4611" s="7"/>
    </row>
    <row r="4612" spans="1:1" x14ac:dyDescent="0.25">
      <c r="A4612" s="7"/>
    </row>
    <row r="4613" spans="1:1" x14ac:dyDescent="0.25">
      <c r="A4613" s="7"/>
    </row>
    <row r="4614" spans="1:1" x14ac:dyDescent="0.25">
      <c r="A4614" s="7"/>
    </row>
    <row r="4615" spans="1:1" x14ac:dyDescent="0.25">
      <c r="A4615" s="7"/>
    </row>
    <row r="4616" spans="1:1" x14ac:dyDescent="0.25">
      <c r="A4616" s="7"/>
    </row>
    <row r="4617" spans="1:1" x14ac:dyDescent="0.25">
      <c r="A4617" s="7"/>
    </row>
    <row r="4618" spans="1:1" x14ac:dyDescent="0.25">
      <c r="A4618" s="7"/>
    </row>
    <row r="4619" spans="1:1" x14ac:dyDescent="0.25">
      <c r="A4619" s="7"/>
    </row>
    <row r="4620" spans="1:1" x14ac:dyDescent="0.25">
      <c r="A4620" s="7"/>
    </row>
    <row r="4621" spans="1:1" x14ac:dyDescent="0.25">
      <c r="A4621" s="7"/>
    </row>
    <row r="4622" spans="1:1" x14ac:dyDescent="0.25">
      <c r="A4622" s="7"/>
    </row>
    <row r="4623" spans="1:1" x14ac:dyDescent="0.25">
      <c r="A4623" s="7"/>
    </row>
    <row r="4624" spans="1:1" x14ac:dyDescent="0.25">
      <c r="A4624" s="7"/>
    </row>
    <row r="4625" spans="1:1" x14ac:dyDescent="0.25">
      <c r="A4625" s="7"/>
    </row>
    <row r="4626" spans="1:1" x14ac:dyDescent="0.25">
      <c r="A4626" s="7"/>
    </row>
    <row r="4627" spans="1:1" x14ac:dyDescent="0.25">
      <c r="A4627" s="7"/>
    </row>
    <row r="4628" spans="1:1" x14ac:dyDescent="0.25">
      <c r="A4628" s="7"/>
    </row>
    <row r="4629" spans="1:1" x14ac:dyDescent="0.25">
      <c r="A4629" s="7"/>
    </row>
    <row r="4630" spans="1:1" x14ac:dyDescent="0.25">
      <c r="A4630" s="7"/>
    </row>
    <row r="4631" spans="1:1" x14ac:dyDescent="0.25">
      <c r="A4631" s="7"/>
    </row>
    <row r="4632" spans="1:1" x14ac:dyDescent="0.25">
      <c r="A4632" s="7"/>
    </row>
    <row r="4633" spans="1:1" x14ac:dyDescent="0.25">
      <c r="A4633" s="7"/>
    </row>
    <row r="4634" spans="1:1" x14ac:dyDescent="0.25">
      <c r="A4634" s="7"/>
    </row>
    <row r="4635" spans="1:1" x14ac:dyDescent="0.25">
      <c r="A4635" s="7"/>
    </row>
    <row r="4636" spans="1:1" x14ac:dyDescent="0.25">
      <c r="A4636" s="7"/>
    </row>
    <row r="4637" spans="1:1" x14ac:dyDescent="0.25">
      <c r="A4637" s="7"/>
    </row>
    <row r="4638" spans="1:1" x14ac:dyDescent="0.25">
      <c r="A4638" s="7"/>
    </row>
    <row r="4639" spans="1:1" x14ac:dyDescent="0.25">
      <c r="A4639" s="7"/>
    </row>
    <row r="4640" spans="1:1" x14ac:dyDescent="0.25">
      <c r="A4640" s="7"/>
    </row>
    <row r="4641" spans="1:1" x14ac:dyDescent="0.25">
      <c r="A4641" s="7"/>
    </row>
    <row r="4642" spans="1:1" x14ac:dyDescent="0.25">
      <c r="A4642" s="7"/>
    </row>
    <row r="4643" spans="1:1" x14ac:dyDescent="0.25">
      <c r="A4643" s="7"/>
    </row>
    <row r="4644" spans="1:1" x14ac:dyDescent="0.25">
      <c r="A4644" s="7"/>
    </row>
    <row r="4645" spans="1:1" x14ac:dyDescent="0.25">
      <c r="A4645" s="7"/>
    </row>
    <row r="4646" spans="1:1" x14ac:dyDescent="0.25">
      <c r="A4646" s="7"/>
    </row>
    <row r="4647" spans="1:1" x14ac:dyDescent="0.25">
      <c r="A4647" s="7"/>
    </row>
    <row r="4648" spans="1:1" x14ac:dyDescent="0.25">
      <c r="A4648" s="7"/>
    </row>
    <row r="4649" spans="1:1" x14ac:dyDescent="0.25">
      <c r="A4649" s="7"/>
    </row>
    <row r="4650" spans="1:1" x14ac:dyDescent="0.25">
      <c r="A4650" s="7"/>
    </row>
    <row r="4651" spans="1:1" x14ac:dyDescent="0.25">
      <c r="A4651" s="7"/>
    </row>
    <row r="4652" spans="1:1" x14ac:dyDescent="0.25">
      <c r="A4652" s="7"/>
    </row>
    <row r="4653" spans="1:1" x14ac:dyDescent="0.25">
      <c r="A4653" s="7"/>
    </row>
    <row r="4654" spans="1:1" x14ac:dyDescent="0.25">
      <c r="A4654" s="7"/>
    </row>
    <row r="4655" spans="1:1" x14ac:dyDescent="0.25">
      <c r="A4655" s="7"/>
    </row>
    <row r="4656" spans="1:1" x14ac:dyDescent="0.25">
      <c r="A4656" s="7"/>
    </row>
    <row r="4657" spans="1:1" x14ac:dyDescent="0.25">
      <c r="A4657" s="7"/>
    </row>
    <row r="4658" spans="1:1" x14ac:dyDescent="0.25">
      <c r="A4658" s="7"/>
    </row>
    <row r="4659" spans="1:1" x14ac:dyDescent="0.25">
      <c r="A4659" s="7"/>
    </row>
    <row r="4660" spans="1:1" x14ac:dyDescent="0.25">
      <c r="A4660" s="7"/>
    </row>
    <row r="4661" spans="1:1" x14ac:dyDescent="0.25">
      <c r="A4661" s="7"/>
    </row>
    <row r="4662" spans="1:1" x14ac:dyDescent="0.25">
      <c r="A4662" s="7"/>
    </row>
    <row r="4663" spans="1:1" x14ac:dyDescent="0.25">
      <c r="A4663" s="7"/>
    </row>
    <row r="4664" spans="1:1" x14ac:dyDescent="0.25">
      <c r="A4664" s="7"/>
    </row>
    <row r="4665" spans="1:1" x14ac:dyDescent="0.25">
      <c r="A4665" s="7"/>
    </row>
    <row r="4666" spans="1:1" x14ac:dyDescent="0.25">
      <c r="A4666" s="7"/>
    </row>
    <row r="4667" spans="1:1" x14ac:dyDescent="0.25">
      <c r="A4667" s="7"/>
    </row>
    <row r="4668" spans="1:1" x14ac:dyDescent="0.25">
      <c r="A4668" s="7"/>
    </row>
    <row r="4669" spans="1:1" x14ac:dyDescent="0.25">
      <c r="A4669" s="7"/>
    </row>
    <row r="4670" spans="1:1" x14ac:dyDescent="0.25">
      <c r="A4670" s="7"/>
    </row>
    <row r="4671" spans="1:1" x14ac:dyDescent="0.25">
      <c r="A4671" s="7"/>
    </row>
    <row r="4672" spans="1:1" x14ac:dyDescent="0.25">
      <c r="A4672" s="7"/>
    </row>
    <row r="4673" spans="1:1" x14ac:dyDescent="0.25">
      <c r="A4673" s="7"/>
    </row>
    <row r="4674" spans="1:1" x14ac:dyDescent="0.25">
      <c r="A4674" s="7"/>
    </row>
    <row r="4675" spans="1:1" x14ac:dyDescent="0.25">
      <c r="A4675" s="7"/>
    </row>
    <row r="4676" spans="1:1" x14ac:dyDescent="0.25">
      <c r="A4676" s="7"/>
    </row>
    <row r="4677" spans="1:1" x14ac:dyDescent="0.25">
      <c r="A4677" s="7"/>
    </row>
    <row r="4678" spans="1:1" x14ac:dyDescent="0.25">
      <c r="A4678" s="7"/>
    </row>
    <row r="4679" spans="1:1" x14ac:dyDescent="0.25">
      <c r="A4679" s="7"/>
    </row>
    <row r="4680" spans="1:1" x14ac:dyDescent="0.25">
      <c r="A4680" s="7"/>
    </row>
    <row r="4681" spans="1:1" x14ac:dyDescent="0.25">
      <c r="A4681" s="7"/>
    </row>
    <row r="4682" spans="1:1" x14ac:dyDescent="0.25">
      <c r="A4682" s="7"/>
    </row>
    <row r="4683" spans="1:1" x14ac:dyDescent="0.25">
      <c r="A4683" s="7"/>
    </row>
    <row r="4684" spans="1:1" x14ac:dyDescent="0.25">
      <c r="A4684" s="7"/>
    </row>
    <row r="4685" spans="1:1" x14ac:dyDescent="0.25">
      <c r="A4685" s="7"/>
    </row>
    <row r="4686" spans="1:1" x14ac:dyDescent="0.25">
      <c r="A4686" s="7"/>
    </row>
    <row r="4687" spans="1:1" x14ac:dyDescent="0.25">
      <c r="A4687" s="7"/>
    </row>
    <row r="4688" spans="1:1" x14ac:dyDescent="0.25">
      <c r="A4688" s="7"/>
    </row>
    <row r="4689" spans="1:1" x14ac:dyDescent="0.25">
      <c r="A4689" s="7"/>
    </row>
    <row r="4690" spans="1:1" x14ac:dyDescent="0.25">
      <c r="A4690" s="7"/>
    </row>
    <row r="4691" spans="1:1" x14ac:dyDescent="0.25">
      <c r="A4691" s="7"/>
    </row>
    <row r="4692" spans="1:1" x14ac:dyDescent="0.25">
      <c r="A4692" s="7"/>
    </row>
    <row r="4693" spans="1:1" x14ac:dyDescent="0.25">
      <c r="A4693" s="7"/>
    </row>
    <row r="4694" spans="1:1" x14ac:dyDescent="0.25">
      <c r="A4694" s="7"/>
    </row>
    <row r="4695" spans="1:1" x14ac:dyDescent="0.25">
      <c r="A4695" s="7"/>
    </row>
    <row r="4696" spans="1:1" x14ac:dyDescent="0.25">
      <c r="A4696" s="7"/>
    </row>
    <row r="4697" spans="1:1" x14ac:dyDescent="0.25">
      <c r="A4697" s="7"/>
    </row>
    <row r="4698" spans="1:1" x14ac:dyDescent="0.25">
      <c r="A4698" s="7"/>
    </row>
    <row r="4699" spans="1:1" x14ac:dyDescent="0.25">
      <c r="A4699" s="7"/>
    </row>
    <row r="4700" spans="1:1" x14ac:dyDescent="0.25">
      <c r="A4700" s="7"/>
    </row>
    <row r="4701" spans="1:1" x14ac:dyDescent="0.25">
      <c r="A4701" s="7"/>
    </row>
    <row r="4702" spans="1:1" x14ac:dyDescent="0.25">
      <c r="A4702" s="7"/>
    </row>
    <row r="4703" spans="1:1" x14ac:dyDescent="0.25">
      <c r="A4703" s="7"/>
    </row>
    <row r="4704" spans="1:1" x14ac:dyDescent="0.25">
      <c r="A4704" s="7"/>
    </row>
    <row r="4705" spans="1:1" x14ac:dyDescent="0.25">
      <c r="A4705" s="7"/>
    </row>
    <row r="4706" spans="1:1" x14ac:dyDescent="0.25">
      <c r="A4706" s="7"/>
    </row>
    <row r="4707" spans="1:1" x14ac:dyDescent="0.25">
      <c r="A4707" s="7"/>
    </row>
    <row r="4708" spans="1:1" x14ac:dyDescent="0.25">
      <c r="A4708" s="7"/>
    </row>
    <row r="4709" spans="1:1" x14ac:dyDescent="0.25">
      <c r="A4709" s="7"/>
    </row>
    <row r="4710" spans="1:1" x14ac:dyDescent="0.25">
      <c r="A4710" s="7"/>
    </row>
    <row r="4711" spans="1:1" x14ac:dyDescent="0.25">
      <c r="A4711" s="7"/>
    </row>
    <row r="4712" spans="1:1" x14ac:dyDescent="0.25">
      <c r="A4712" s="7"/>
    </row>
    <row r="4713" spans="1:1" x14ac:dyDescent="0.25">
      <c r="A4713" s="7"/>
    </row>
    <row r="4714" spans="1:1" x14ac:dyDescent="0.25">
      <c r="A4714" s="7"/>
    </row>
    <row r="4715" spans="1:1" x14ac:dyDescent="0.25">
      <c r="A4715" s="7"/>
    </row>
    <row r="4716" spans="1:1" x14ac:dyDescent="0.25">
      <c r="A4716" s="7"/>
    </row>
    <row r="4717" spans="1:1" x14ac:dyDescent="0.25">
      <c r="A4717" s="7"/>
    </row>
    <row r="4718" spans="1:1" x14ac:dyDescent="0.25">
      <c r="A4718" s="7"/>
    </row>
    <row r="4719" spans="1:1" x14ac:dyDescent="0.25">
      <c r="A4719" s="7"/>
    </row>
    <row r="4720" spans="1:1" x14ac:dyDescent="0.25">
      <c r="A4720" s="7"/>
    </row>
    <row r="4721" spans="1:1" x14ac:dyDescent="0.25">
      <c r="A4721" s="7"/>
    </row>
    <row r="4722" spans="1:1" x14ac:dyDescent="0.25">
      <c r="A4722" s="7"/>
    </row>
    <row r="4723" spans="1:1" x14ac:dyDescent="0.25">
      <c r="A4723" s="7"/>
    </row>
    <row r="4724" spans="1:1" x14ac:dyDescent="0.25">
      <c r="A4724" s="7"/>
    </row>
    <row r="4725" spans="1:1" x14ac:dyDescent="0.25">
      <c r="A4725" s="7"/>
    </row>
    <row r="4726" spans="1:1" x14ac:dyDescent="0.25">
      <c r="A4726" s="7"/>
    </row>
    <row r="4727" spans="1:1" x14ac:dyDescent="0.25">
      <c r="A4727" s="7"/>
    </row>
    <row r="4728" spans="1:1" x14ac:dyDescent="0.25">
      <c r="A4728" s="7"/>
    </row>
    <row r="4729" spans="1:1" x14ac:dyDescent="0.25">
      <c r="A4729" s="7"/>
    </row>
    <row r="4730" spans="1:1" x14ac:dyDescent="0.25">
      <c r="A4730" s="7"/>
    </row>
    <row r="4731" spans="1:1" x14ac:dyDescent="0.25">
      <c r="A4731" s="7"/>
    </row>
    <row r="4732" spans="1:1" x14ac:dyDescent="0.25">
      <c r="A4732" s="7"/>
    </row>
    <row r="4733" spans="1:1" x14ac:dyDescent="0.25">
      <c r="A4733" s="7"/>
    </row>
    <row r="4734" spans="1:1" x14ac:dyDescent="0.25">
      <c r="A4734" s="7"/>
    </row>
    <row r="4735" spans="1:1" x14ac:dyDescent="0.25">
      <c r="A4735" s="7"/>
    </row>
    <row r="4736" spans="1:1" x14ac:dyDescent="0.25">
      <c r="A4736" s="7"/>
    </row>
    <row r="4737" spans="1:1" x14ac:dyDescent="0.25">
      <c r="A4737" s="7"/>
    </row>
    <row r="4738" spans="1:1" x14ac:dyDescent="0.25">
      <c r="A4738" s="7"/>
    </row>
    <row r="4739" spans="1:1" x14ac:dyDescent="0.25">
      <c r="A4739" s="7"/>
    </row>
    <row r="4740" spans="1:1" x14ac:dyDescent="0.25">
      <c r="A4740" s="7"/>
    </row>
    <row r="4741" spans="1:1" x14ac:dyDescent="0.25">
      <c r="A4741" s="7"/>
    </row>
    <row r="4742" spans="1:1" x14ac:dyDescent="0.25">
      <c r="A4742" s="7"/>
    </row>
    <row r="4743" spans="1:1" x14ac:dyDescent="0.25">
      <c r="A4743" s="7"/>
    </row>
    <row r="4744" spans="1:1" x14ac:dyDescent="0.25">
      <c r="A4744" s="7"/>
    </row>
    <row r="4745" spans="1:1" x14ac:dyDescent="0.25">
      <c r="A4745" s="7"/>
    </row>
    <row r="4746" spans="1:1" x14ac:dyDescent="0.25">
      <c r="A4746" s="7"/>
    </row>
    <row r="4747" spans="1:1" x14ac:dyDescent="0.25">
      <c r="A4747" s="7"/>
    </row>
    <row r="4748" spans="1:1" x14ac:dyDescent="0.25">
      <c r="A4748" s="7"/>
    </row>
    <row r="4749" spans="1:1" x14ac:dyDescent="0.25">
      <c r="A4749" s="7"/>
    </row>
    <row r="4750" spans="1:1" x14ac:dyDescent="0.25">
      <c r="A4750" s="7"/>
    </row>
    <row r="4751" spans="1:1" x14ac:dyDescent="0.25">
      <c r="A4751" s="7"/>
    </row>
    <row r="4752" spans="1:1" x14ac:dyDescent="0.25">
      <c r="A4752" s="7"/>
    </row>
    <row r="4753" spans="1:1" x14ac:dyDescent="0.25">
      <c r="A4753" s="7"/>
    </row>
    <row r="4754" spans="1:1" x14ac:dyDescent="0.25">
      <c r="A4754" s="7"/>
    </row>
    <row r="4755" spans="1:1" x14ac:dyDescent="0.25">
      <c r="A4755" s="7"/>
    </row>
    <row r="4756" spans="1:1" x14ac:dyDescent="0.25">
      <c r="A4756" s="7"/>
    </row>
    <row r="4757" spans="1:1" x14ac:dyDescent="0.25">
      <c r="A4757" s="7"/>
    </row>
    <row r="4758" spans="1:1" x14ac:dyDescent="0.25">
      <c r="A4758" s="7"/>
    </row>
    <row r="4759" spans="1:1" x14ac:dyDescent="0.25">
      <c r="A4759" s="7"/>
    </row>
    <row r="4760" spans="1:1" x14ac:dyDescent="0.25">
      <c r="A4760" s="7"/>
    </row>
    <row r="4761" spans="1:1" x14ac:dyDescent="0.25">
      <c r="A4761" s="7"/>
    </row>
    <row r="4762" spans="1:1" x14ac:dyDescent="0.25">
      <c r="A4762" s="7"/>
    </row>
    <row r="4763" spans="1:1" x14ac:dyDescent="0.25">
      <c r="A4763" s="7"/>
    </row>
    <row r="4764" spans="1:1" x14ac:dyDescent="0.25">
      <c r="A4764" s="7"/>
    </row>
    <row r="4765" spans="1:1" x14ac:dyDescent="0.25">
      <c r="A4765" s="7"/>
    </row>
    <row r="4766" spans="1:1" x14ac:dyDescent="0.25">
      <c r="A4766" s="7"/>
    </row>
    <row r="4767" spans="1:1" x14ac:dyDescent="0.25">
      <c r="A4767" s="7"/>
    </row>
    <row r="4768" spans="1:1" x14ac:dyDescent="0.25">
      <c r="A4768" s="7"/>
    </row>
    <row r="4769" spans="1:1" x14ac:dyDescent="0.25">
      <c r="A4769" s="7"/>
    </row>
    <row r="4770" spans="1:1" x14ac:dyDescent="0.25">
      <c r="A4770" s="7"/>
    </row>
    <row r="4771" spans="1:1" x14ac:dyDescent="0.25">
      <c r="A4771" s="7"/>
    </row>
    <row r="4772" spans="1:1" x14ac:dyDescent="0.25">
      <c r="A4772" s="7"/>
    </row>
    <row r="4773" spans="1:1" x14ac:dyDescent="0.25">
      <c r="A4773" s="7"/>
    </row>
    <row r="4774" spans="1:1" x14ac:dyDescent="0.25">
      <c r="A4774" s="7"/>
    </row>
    <row r="4775" spans="1:1" x14ac:dyDescent="0.25">
      <c r="A4775" s="7"/>
    </row>
    <row r="4776" spans="1:1" x14ac:dyDescent="0.25">
      <c r="A4776" s="7"/>
    </row>
    <row r="4777" spans="1:1" x14ac:dyDescent="0.25">
      <c r="A4777" s="7"/>
    </row>
    <row r="4778" spans="1:1" x14ac:dyDescent="0.25">
      <c r="A4778" s="7"/>
    </row>
    <row r="4779" spans="1:1" x14ac:dyDescent="0.25">
      <c r="A4779" s="7"/>
    </row>
    <row r="4780" spans="1:1" x14ac:dyDescent="0.25">
      <c r="A4780" s="7"/>
    </row>
    <row r="4781" spans="1:1" x14ac:dyDescent="0.25">
      <c r="A4781" s="7"/>
    </row>
    <row r="4782" spans="1:1" x14ac:dyDescent="0.25">
      <c r="A4782" s="7"/>
    </row>
    <row r="4783" spans="1:1" x14ac:dyDescent="0.25">
      <c r="A4783" s="7"/>
    </row>
    <row r="4784" spans="1:1" x14ac:dyDescent="0.25">
      <c r="A4784" s="7"/>
    </row>
    <row r="4785" spans="1:1" x14ac:dyDescent="0.25">
      <c r="A4785" s="7"/>
    </row>
    <row r="4786" spans="1:1" x14ac:dyDescent="0.25">
      <c r="A4786" s="7"/>
    </row>
    <row r="4787" spans="1:1" x14ac:dyDescent="0.25">
      <c r="A4787" s="7"/>
    </row>
    <row r="4788" spans="1:1" x14ac:dyDescent="0.25">
      <c r="A4788" s="7"/>
    </row>
    <row r="4789" spans="1:1" x14ac:dyDescent="0.25">
      <c r="A4789" s="7"/>
    </row>
    <row r="4790" spans="1:1" x14ac:dyDescent="0.25">
      <c r="A4790" s="7"/>
    </row>
    <row r="4791" spans="1:1" x14ac:dyDescent="0.25">
      <c r="A4791" s="7"/>
    </row>
    <row r="4792" spans="1:1" x14ac:dyDescent="0.25">
      <c r="A4792" s="7"/>
    </row>
    <row r="4793" spans="1:1" x14ac:dyDescent="0.25">
      <c r="A4793" s="7"/>
    </row>
    <row r="4794" spans="1:1" x14ac:dyDescent="0.25">
      <c r="A4794" s="7"/>
    </row>
    <row r="4795" spans="1:1" x14ac:dyDescent="0.25">
      <c r="A4795" s="7"/>
    </row>
    <row r="4796" spans="1:1" x14ac:dyDescent="0.25">
      <c r="A4796" s="7"/>
    </row>
    <row r="4797" spans="1:1" x14ac:dyDescent="0.25">
      <c r="A4797" s="7"/>
    </row>
    <row r="4798" spans="1:1" x14ac:dyDescent="0.25">
      <c r="A4798" s="7"/>
    </row>
    <row r="4799" spans="1:1" x14ac:dyDescent="0.25">
      <c r="A4799" s="7"/>
    </row>
    <row r="4800" spans="1:1" x14ac:dyDescent="0.25">
      <c r="A4800" s="7"/>
    </row>
    <row r="4801" spans="1:1" x14ac:dyDescent="0.25">
      <c r="A4801" s="7"/>
    </row>
    <row r="4802" spans="1:1" x14ac:dyDescent="0.25">
      <c r="A4802" s="7"/>
    </row>
    <row r="4803" spans="1:1" x14ac:dyDescent="0.25">
      <c r="A4803" s="7"/>
    </row>
    <row r="4804" spans="1:1" x14ac:dyDescent="0.25">
      <c r="A4804" s="7"/>
    </row>
    <row r="4805" spans="1:1" x14ac:dyDescent="0.25">
      <c r="A4805" s="7"/>
    </row>
    <row r="4806" spans="1:1" x14ac:dyDescent="0.25">
      <c r="A4806" s="7"/>
    </row>
    <row r="4807" spans="1:1" x14ac:dyDescent="0.25">
      <c r="A4807" s="7"/>
    </row>
    <row r="4808" spans="1:1" x14ac:dyDescent="0.25">
      <c r="A4808" s="7"/>
    </row>
    <row r="4809" spans="1:1" x14ac:dyDescent="0.25">
      <c r="A4809" s="7"/>
    </row>
    <row r="4810" spans="1:1" x14ac:dyDescent="0.25">
      <c r="A4810" s="7"/>
    </row>
    <row r="4811" spans="1:1" x14ac:dyDescent="0.25">
      <c r="A4811" s="7"/>
    </row>
    <row r="4812" spans="1:1" x14ac:dyDescent="0.25">
      <c r="A4812" s="7"/>
    </row>
    <row r="4813" spans="1:1" x14ac:dyDescent="0.25">
      <c r="A4813" s="7"/>
    </row>
    <row r="4814" spans="1:1" x14ac:dyDescent="0.25">
      <c r="A4814" s="7"/>
    </row>
    <row r="4815" spans="1:1" x14ac:dyDescent="0.25">
      <c r="A4815" s="7"/>
    </row>
    <row r="4816" spans="1:1" x14ac:dyDescent="0.25">
      <c r="A4816" s="7"/>
    </row>
    <row r="4817" spans="1:1" x14ac:dyDescent="0.25">
      <c r="A4817" s="7"/>
    </row>
    <row r="4818" spans="1:1" x14ac:dyDescent="0.25">
      <c r="A4818" s="7"/>
    </row>
    <row r="4819" spans="1:1" x14ac:dyDescent="0.25">
      <c r="A4819" s="7"/>
    </row>
    <row r="4820" spans="1:1" x14ac:dyDescent="0.25">
      <c r="A4820" s="7"/>
    </row>
    <row r="4821" spans="1:1" x14ac:dyDescent="0.25">
      <c r="A4821" s="7"/>
    </row>
    <row r="4822" spans="1:1" x14ac:dyDescent="0.25">
      <c r="A4822" s="7"/>
    </row>
    <row r="4823" spans="1:1" x14ac:dyDescent="0.25">
      <c r="A4823" s="7"/>
    </row>
    <row r="4824" spans="1:1" x14ac:dyDescent="0.25">
      <c r="A4824" s="7"/>
    </row>
    <row r="4825" spans="1:1" x14ac:dyDescent="0.25">
      <c r="A4825" s="7"/>
    </row>
    <row r="4826" spans="1:1" x14ac:dyDescent="0.25">
      <c r="A4826" s="7"/>
    </row>
    <row r="4827" spans="1:1" x14ac:dyDescent="0.25">
      <c r="A4827" s="7"/>
    </row>
    <row r="4828" spans="1:1" x14ac:dyDescent="0.25">
      <c r="A4828" s="7"/>
    </row>
    <row r="4829" spans="1:1" x14ac:dyDescent="0.25">
      <c r="A4829" s="7"/>
    </row>
    <row r="4830" spans="1:1" x14ac:dyDescent="0.25">
      <c r="A4830" s="7"/>
    </row>
    <row r="4831" spans="1:1" x14ac:dyDescent="0.25">
      <c r="A4831" s="7"/>
    </row>
    <row r="4832" spans="1:1" x14ac:dyDescent="0.25">
      <c r="A4832" s="7"/>
    </row>
    <row r="4833" spans="1:1" x14ac:dyDescent="0.25">
      <c r="A4833" s="7"/>
    </row>
    <row r="4834" spans="1:1" x14ac:dyDescent="0.25">
      <c r="A4834" s="7"/>
    </row>
    <row r="4835" spans="1:1" x14ac:dyDescent="0.25">
      <c r="A4835" s="7"/>
    </row>
    <row r="4836" spans="1:1" x14ac:dyDescent="0.25">
      <c r="A4836" s="7"/>
    </row>
    <row r="4837" spans="1:1" x14ac:dyDescent="0.25">
      <c r="A4837" s="7"/>
    </row>
    <row r="4838" spans="1:1" x14ac:dyDescent="0.25">
      <c r="A4838" s="7"/>
    </row>
    <row r="4839" spans="1:1" x14ac:dyDescent="0.25">
      <c r="A4839" s="7"/>
    </row>
    <row r="4840" spans="1:1" x14ac:dyDescent="0.25">
      <c r="A4840" s="7"/>
    </row>
    <row r="4841" spans="1:1" x14ac:dyDescent="0.25">
      <c r="A4841" s="7"/>
    </row>
    <row r="4842" spans="1:1" x14ac:dyDescent="0.25">
      <c r="A4842" s="7"/>
    </row>
    <row r="4843" spans="1:1" x14ac:dyDescent="0.25">
      <c r="A4843" s="7"/>
    </row>
    <row r="4844" spans="1:1" x14ac:dyDescent="0.25">
      <c r="A4844" s="7"/>
    </row>
    <row r="4845" spans="1:1" x14ac:dyDescent="0.25">
      <c r="A4845" s="7"/>
    </row>
    <row r="4846" spans="1:1" x14ac:dyDescent="0.25">
      <c r="A4846" s="7"/>
    </row>
    <row r="4847" spans="1:1" x14ac:dyDescent="0.25">
      <c r="A4847" s="7"/>
    </row>
    <row r="4848" spans="1:1" x14ac:dyDescent="0.25">
      <c r="A4848" s="7"/>
    </row>
    <row r="4849" spans="1:1" x14ac:dyDescent="0.25">
      <c r="A4849" s="7"/>
    </row>
    <row r="4850" spans="1:1" x14ac:dyDescent="0.25">
      <c r="A4850" s="7"/>
    </row>
    <row r="4851" spans="1:1" x14ac:dyDescent="0.25">
      <c r="A4851" s="7"/>
    </row>
    <row r="4852" spans="1:1" x14ac:dyDescent="0.25">
      <c r="A4852" s="7"/>
    </row>
    <row r="4853" spans="1:1" x14ac:dyDescent="0.25">
      <c r="A4853" s="7"/>
    </row>
    <row r="4854" spans="1:1" x14ac:dyDescent="0.25">
      <c r="A4854" s="7"/>
    </row>
    <row r="4855" spans="1:1" x14ac:dyDescent="0.25">
      <c r="A4855" s="7"/>
    </row>
    <row r="4856" spans="1:1" x14ac:dyDescent="0.25">
      <c r="A4856" s="7"/>
    </row>
    <row r="4857" spans="1:1" x14ac:dyDescent="0.25">
      <c r="A4857" s="7"/>
    </row>
    <row r="4858" spans="1:1" x14ac:dyDescent="0.25">
      <c r="A4858" s="7"/>
    </row>
    <row r="4859" spans="1:1" x14ac:dyDescent="0.25">
      <c r="A4859" s="7"/>
    </row>
    <row r="4860" spans="1:1" x14ac:dyDescent="0.25">
      <c r="A4860" s="7"/>
    </row>
    <row r="4861" spans="1:1" x14ac:dyDescent="0.25">
      <c r="A4861" s="7"/>
    </row>
    <row r="4862" spans="1:1" x14ac:dyDescent="0.25">
      <c r="A4862" s="7"/>
    </row>
    <row r="4863" spans="1:1" x14ac:dyDescent="0.25">
      <c r="A4863" s="7"/>
    </row>
    <row r="4864" spans="1:1" x14ac:dyDescent="0.25">
      <c r="A4864" s="7"/>
    </row>
    <row r="4865" spans="1:1" x14ac:dyDescent="0.25">
      <c r="A4865" s="7"/>
    </row>
    <row r="4866" spans="1:1" x14ac:dyDescent="0.25">
      <c r="A4866" s="7"/>
    </row>
    <row r="4867" spans="1:1" x14ac:dyDescent="0.25">
      <c r="A4867" s="7"/>
    </row>
    <row r="4868" spans="1:1" x14ac:dyDescent="0.25">
      <c r="A4868" s="7"/>
    </row>
    <row r="4869" spans="1:1" x14ac:dyDescent="0.25">
      <c r="A4869" s="7"/>
    </row>
    <row r="4870" spans="1:1" x14ac:dyDescent="0.25">
      <c r="A4870" s="7"/>
    </row>
    <row r="4871" spans="1:1" x14ac:dyDescent="0.25">
      <c r="A4871" s="7"/>
    </row>
    <row r="4872" spans="1:1" x14ac:dyDescent="0.25">
      <c r="A4872" s="7"/>
    </row>
    <row r="4873" spans="1:1" x14ac:dyDescent="0.25">
      <c r="A4873" s="7"/>
    </row>
    <row r="4874" spans="1:1" x14ac:dyDescent="0.25">
      <c r="A4874" s="7"/>
    </row>
    <row r="4875" spans="1:1" x14ac:dyDescent="0.25">
      <c r="A4875" s="7"/>
    </row>
    <row r="4876" spans="1:1" x14ac:dyDescent="0.25">
      <c r="A4876" s="7"/>
    </row>
    <row r="4877" spans="1:1" x14ac:dyDescent="0.25">
      <c r="A4877" s="7"/>
    </row>
    <row r="4878" spans="1:1" x14ac:dyDescent="0.25">
      <c r="A4878" s="7"/>
    </row>
    <row r="4879" spans="1:1" x14ac:dyDescent="0.25">
      <c r="A4879" s="7"/>
    </row>
    <row r="4880" spans="1:1" x14ac:dyDescent="0.25">
      <c r="A4880" s="7"/>
    </row>
    <row r="4881" spans="1:1" x14ac:dyDescent="0.25">
      <c r="A4881" s="7"/>
    </row>
    <row r="4882" spans="1:1" x14ac:dyDescent="0.25">
      <c r="A4882" s="7"/>
    </row>
    <row r="4883" spans="1:1" x14ac:dyDescent="0.25">
      <c r="A4883" s="7"/>
    </row>
    <row r="4884" spans="1:1" x14ac:dyDescent="0.25">
      <c r="A4884" s="7"/>
    </row>
    <row r="4885" spans="1:1" x14ac:dyDescent="0.25">
      <c r="A4885" s="7"/>
    </row>
    <row r="4886" spans="1:1" x14ac:dyDescent="0.25">
      <c r="A4886" s="7"/>
    </row>
    <row r="4887" spans="1:1" x14ac:dyDescent="0.25">
      <c r="A4887" s="7"/>
    </row>
    <row r="4888" spans="1:1" x14ac:dyDescent="0.25">
      <c r="A4888" s="7"/>
    </row>
    <row r="4889" spans="1:1" x14ac:dyDescent="0.25">
      <c r="A4889" s="7"/>
    </row>
    <row r="4890" spans="1:1" x14ac:dyDescent="0.25">
      <c r="A4890" s="7"/>
    </row>
    <row r="4891" spans="1:1" x14ac:dyDescent="0.25">
      <c r="A4891" s="7"/>
    </row>
    <row r="4892" spans="1:1" x14ac:dyDescent="0.25">
      <c r="A4892" s="7"/>
    </row>
    <row r="4893" spans="1:1" x14ac:dyDescent="0.25">
      <c r="A4893" s="7"/>
    </row>
    <row r="4894" spans="1:1" x14ac:dyDescent="0.25">
      <c r="A4894" s="7"/>
    </row>
    <row r="4895" spans="1:1" x14ac:dyDescent="0.25">
      <c r="A4895" s="7"/>
    </row>
    <row r="4896" spans="1:1" x14ac:dyDescent="0.25">
      <c r="A4896" s="7"/>
    </row>
    <row r="4897" spans="1:1" x14ac:dyDescent="0.25">
      <c r="A4897" s="7"/>
    </row>
    <row r="4898" spans="1:1" x14ac:dyDescent="0.25">
      <c r="A4898" s="7"/>
    </row>
    <row r="4899" spans="1:1" x14ac:dyDescent="0.25">
      <c r="A4899" s="7"/>
    </row>
    <row r="4900" spans="1:1" x14ac:dyDescent="0.25">
      <c r="A4900" s="7"/>
    </row>
    <row r="4901" spans="1:1" x14ac:dyDescent="0.25">
      <c r="A4901" s="7"/>
    </row>
    <row r="4902" spans="1:1" x14ac:dyDescent="0.25">
      <c r="A4902" s="7"/>
    </row>
    <row r="4903" spans="1:1" x14ac:dyDescent="0.25">
      <c r="A4903" s="7"/>
    </row>
    <row r="4904" spans="1:1" x14ac:dyDescent="0.25">
      <c r="A4904" s="7"/>
    </row>
    <row r="4905" spans="1:1" x14ac:dyDescent="0.25">
      <c r="A4905" s="7"/>
    </row>
    <row r="4906" spans="1:1" x14ac:dyDescent="0.25">
      <c r="A4906" s="7"/>
    </row>
    <row r="4907" spans="1:1" x14ac:dyDescent="0.25">
      <c r="A4907" s="7"/>
    </row>
    <row r="4908" spans="1:1" x14ac:dyDescent="0.25">
      <c r="A4908" s="7"/>
    </row>
    <row r="4909" spans="1:1" x14ac:dyDescent="0.25">
      <c r="A4909" s="7"/>
    </row>
    <row r="4910" spans="1:1" x14ac:dyDescent="0.25">
      <c r="A4910" s="7"/>
    </row>
    <row r="4911" spans="1:1" x14ac:dyDescent="0.25">
      <c r="A4911" s="7"/>
    </row>
    <row r="4912" spans="1:1" x14ac:dyDescent="0.25">
      <c r="A4912" s="7"/>
    </row>
    <row r="4913" spans="1:1" x14ac:dyDescent="0.25">
      <c r="A4913" s="7"/>
    </row>
    <row r="4914" spans="1:1" x14ac:dyDescent="0.25">
      <c r="A4914" s="7"/>
    </row>
    <row r="4915" spans="1:1" x14ac:dyDescent="0.25">
      <c r="A4915" s="7"/>
    </row>
    <row r="4916" spans="1:1" x14ac:dyDescent="0.25">
      <c r="A4916" s="7"/>
    </row>
    <row r="4917" spans="1:1" x14ac:dyDescent="0.25">
      <c r="A4917" s="7"/>
    </row>
    <row r="4918" spans="1:1" x14ac:dyDescent="0.25">
      <c r="A4918" s="7"/>
    </row>
    <row r="4919" spans="1:1" x14ac:dyDescent="0.25">
      <c r="A4919" s="7"/>
    </row>
    <row r="4920" spans="1:1" x14ac:dyDescent="0.25">
      <c r="A4920" s="7"/>
    </row>
    <row r="4921" spans="1:1" x14ac:dyDescent="0.25">
      <c r="A4921" s="7"/>
    </row>
    <row r="4922" spans="1:1" x14ac:dyDescent="0.25">
      <c r="A4922" s="7"/>
    </row>
    <row r="4923" spans="1:1" x14ac:dyDescent="0.25">
      <c r="A4923" s="7"/>
    </row>
    <row r="4924" spans="1:1" x14ac:dyDescent="0.25">
      <c r="A4924" s="7"/>
    </row>
    <row r="4925" spans="1:1" x14ac:dyDescent="0.25">
      <c r="A4925" s="7"/>
    </row>
    <row r="4926" spans="1:1" x14ac:dyDescent="0.25">
      <c r="A4926" s="7"/>
    </row>
    <row r="4927" spans="1:1" x14ac:dyDescent="0.25">
      <c r="A4927" s="7"/>
    </row>
    <row r="4928" spans="1:1" x14ac:dyDescent="0.25">
      <c r="A4928" s="7"/>
    </row>
    <row r="4929" spans="1:1" x14ac:dyDescent="0.25">
      <c r="A4929" s="7"/>
    </row>
    <row r="4930" spans="1:1" x14ac:dyDescent="0.25">
      <c r="A4930" s="7"/>
    </row>
    <row r="4931" spans="1:1" x14ac:dyDescent="0.25">
      <c r="A4931" s="7"/>
    </row>
    <row r="4932" spans="1:1" x14ac:dyDescent="0.25">
      <c r="A4932" s="7"/>
    </row>
    <row r="4933" spans="1:1" x14ac:dyDescent="0.25">
      <c r="A4933" s="7"/>
    </row>
    <row r="4934" spans="1:1" x14ac:dyDescent="0.25">
      <c r="A4934" s="7"/>
    </row>
    <row r="4935" spans="1:1" x14ac:dyDescent="0.25">
      <c r="A4935" s="7"/>
    </row>
    <row r="4936" spans="1:1" x14ac:dyDescent="0.25">
      <c r="A4936" s="7"/>
    </row>
    <row r="4937" spans="1:1" x14ac:dyDescent="0.25">
      <c r="A4937" s="7"/>
    </row>
    <row r="4938" spans="1:1" x14ac:dyDescent="0.25">
      <c r="A4938" s="7"/>
    </row>
    <row r="4939" spans="1:1" x14ac:dyDescent="0.25">
      <c r="A4939" s="7"/>
    </row>
    <row r="4940" spans="1:1" x14ac:dyDescent="0.25">
      <c r="A4940" s="7"/>
    </row>
    <row r="4941" spans="1:1" x14ac:dyDescent="0.25">
      <c r="A4941" s="7"/>
    </row>
    <row r="4942" spans="1:1" x14ac:dyDescent="0.25">
      <c r="A4942" s="7"/>
    </row>
    <row r="4943" spans="1:1" x14ac:dyDescent="0.25">
      <c r="A4943" s="7"/>
    </row>
    <row r="4944" spans="1:1" x14ac:dyDescent="0.25">
      <c r="A4944" s="7"/>
    </row>
    <row r="4945" spans="1:1" x14ac:dyDescent="0.25">
      <c r="A4945" s="7"/>
    </row>
    <row r="4946" spans="1:1" x14ac:dyDescent="0.25">
      <c r="A4946" s="7"/>
    </row>
    <row r="4947" spans="1:1" x14ac:dyDescent="0.25">
      <c r="A4947" s="7"/>
    </row>
    <row r="4948" spans="1:1" x14ac:dyDescent="0.25">
      <c r="A4948" s="7"/>
    </row>
    <row r="4949" spans="1:1" x14ac:dyDescent="0.25">
      <c r="A4949" s="7"/>
    </row>
    <row r="4950" spans="1:1" x14ac:dyDescent="0.25">
      <c r="A4950" s="7"/>
    </row>
    <row r="4951" spans="1:1" x14ac:dyDescent="0.25">
      <c r="A4951" s="7"/>
    </row>
    <row r="4952" spans="1:1" x14ac:dyDescent="0.25">
      <c r="A4952" s="7"/>
    </row>
    <row r="4953" spans="1:1" x14ac:dyDescent="0.25">
      <c r="A4953" s="7"/>
    </row>
    <row r="4954" spans="1:1" x14ac:dyDescent="0.25">
      <c r="A4954" s="7"/>
    </row>
    <row r="4955" spans="1:1" x14ac:dyDescent="0.25">
      <c r="A4955" s="7"/>
    </row>
    <row r="4956" spans="1:1" x14ac:dyDescent="0.25">
      <c r="A4956" s="7"/>
    </row>
    <row r="4957" spans="1:1" x14ac:dyDescent="0.25">
      <c r="A4957" s="7"/>
    </row>
    <row r="4958" spans="1:1" x14ac:dyDescent="0.25">
      <c r="A4958" s="7"/>
    </row>
    <row r="4959" spans="1:1" x14ac:dyDescent="0.25">
      <c r="A4959" s="7"/>
    </row>
    <row r="4960" spans="1:1" x14ac:dyDescent="0.25">
      <c r="A4960" s="7"/>
    </row>
    <row r="4961" spans="1:1" x14ac:dyDescent="0.25">
      <c r="A4961" s="7"/>
    </row>
    <row r="4962" spans="1:1" x14ac:dyDescent="0.25">
      <c r="A4962" s="7"/>
    </row>
    <row r="4963" spans="1:1" x14ac:dyDescent="0.25">
      <c r="A4963" s="7"/>
    </row>
    <row r="4964" spans="1:1" x14ac:dyDescent="0.25">
      <c r="A4964" s="7"/>
    </row>
    <row r="4965" spans="1:1" x14ac:dyDescent="0.25">
      <c r="A4965" s="7"/>
    </row>
    <row r="4966" spans="1:1" x14ac:dyDescent="0.25">
      <c r="A4966" s="7"/>
    </row>
    <row r="4967" spans="1:1" x14ac:dyDescent="0.25">
      <c r="A4967" s="7"/>
    </row>
    <row r="4968" spans="1:1" x14ac:dyDescent="0.25">
      <c r="A4968" s="7"/>
    </row>
    <row r="4969" spans="1:1" x14ac:dyDescent="0.25">
      <c r="A4969" s="7"/>
    </row>
    <row r="4970" spans="1:1" x14ac:dyDescent="0.25">
      <c r="A4970" s="7"/>
    </row>
    <row r="4971" spans="1:1" x14ac:dyDescent="0.25">
      <c r="A4971" s="7"/>
    </row>
    <row r="4972" spans="1:1" x14ac:dyDescent="0.25">
      <c r="A4972" s="7"/>
    </row>
    <row r="4973" spans="1:1" x14ac:dyDescent="0.25">
      <c r="A4973" s="7"/>
    </row>
    <row r="4974" spans="1:1" x14ac:dyDescent="0.25">
      <c r="A4974" s="7"/>
    </row>
    <row r="4975" spans="1:1" x14ac:dyDescent="0.25">
      <c r="A4975" s="7"/>
    </row>
    <row r="4976" spans="1:1" x14ac:dyDescent="0.25">
      <c r="A4976" s="7"/>
    </row>
    <row r="4977" spans="1:1" x14ac:dyDescent="0.25">
      <c r="A4977" s="7"/>
    </row>
    <row r="4978" spans="1:1" x14ac:dyDescent="0.25">
      <c r="A4978" s="7"/>
    </row>
    <row r="4979" spans="1:1" x14ac:dyDescent="0.25">
      <c r="A4979" s="7"/>
    </row>
    <row r="4980" spans="1:1" x14ac:dyDescent="0.25">
      <c r="A4980" s="7"/>
    </row>
    <row r="4981" spans="1:1" x14ac:dyDescent="0.25">
      <c r="A4981" s="7"/>
    </row>
    <row r="4982" spans="1:1" x14ac:dyDescent="0.25">
      <c r="A4982" s="7"/>
    </row>
    <row r="4983" spans="1:1" x14ac:dyDescent="0.25">
      <c r="A4983" s="7"/>
    </row>
    <row r="4984" spans="1:1" x14ac:dyDescent="0.25">
      <c r="A4984" s="7"/>
    </row>
    <row r="4985" spans="1:1" x14ac:dyDescent="0.25">
      <c r="A4985" s="7"/>
    </row>
    <row r="4986" spans="1:1" x14ac:dyDescent="0.25">
      <c r="A4986" s="7"/>
    </row>
    <row r="4987" spans="1:1" x14ac:dyDescent="0.25">
      <c r="A4987" s="7"/>
    </row>
    <row r="4988" spans="1:1" x14ac:dyDescent="0.25">
      <c r="A4988" s="7"/>
    </row>
    <row r="4989" spans="1:1" x14ac:dyDescent="0.25">
      <c r="A4989" s="7"/>
    </row>
    <row r="4990" spans="1:1" x14ac:dyDescent="0.25">
      <c r="A4990" s="7"/>
    </row>
    <row r="4991" spans="1:1" x14ac:dyDescent="0.25">
      <c r="A4991" s="7"/>
    </row>
    <row r="4992" spans="1:1" x14ac:dyDescent="0.25">
      <c r="A4992" s="7"/>
    </row>
    <row r="4993" spans="1:1" x14ac:dyDescent="0.25">
      <c r="A4993" s="7"/>
    </row>
    <row r="4994" spans="1:1" x14ac:dyDescent="0.25">
      <c r="A4994" s="7"/>
    </row>
    <row r="4995" spans="1:1" x14ac:dyDescent="0.25">
      <c r="A4995" s="7"/>
    </row>
    <row r="4996" spans="1:1" x14ac:dyDescent="0.25">
      <c r="A4996" s="7"/>
    </row>
    <row r="4997" spans="1:1" x14ac:dyDescent="0.25">
      <c r="A4997" s="7"/>
    </row>
    <row r="4998" spans="1:1" x14ac:dyDescent="0.25">
      <c r="A4998" s="7"/>
    </row>
    <row r="4999" spans="1:1" x14ac:dyDescent="0.25">
      <c r="A4999" s="7"/>
    </row>
    <row r="5000" spans="1:1" x14ac:dyDescent="0.25">
      <c r="A5000" s="7"/>
    </row>
    <row r="5001" spans="1:1" x14ac:dyDescent="0.25">
      <c r="A5001" s="7"/>
    </row>
    <row r="5002" spans="1:1" x14ac:dyDescent="0.25">
      <c r="A5002" s="7"/>
    </row>
    <row r="5003" spans="1:1" x14ac:dyDescent="0.25">
      <c r="A5003" s="7"/>
    </row>
    <row r="5004" spans="1:1" x14ac:dyDescent="0.25">
      <c r="A5004" s="7"/>
    </row>
    <row r="5005" spans="1:1" x14ac:dyDescent="0.25">
      <c r="A5005" s="7"/>
    </row>
    <row r="5006" spans="1:1" x14ac:dyDescent="0.25">
      <c r="A5006" s="7"/>
    </row>
    <row r="5007" spans="1:1" x14ac:dyDescent="0.25">
      <c r="A5007" s="7"/>
    </row>
    <row r="5008" spans="1:1" x14ac:dyDescent="0.25">
      <c r="A5008" s="7"/>
    </row>
    <row r="5009" spans="1:1" x14ac:dyDescent="0.25">
      <c r="A5009" s="7"/>
    </row>
    <row r="5010" spans="1:1" x14ac:dyDescent="0.25">
      <c r="A5010" s="7"/>
    </row>
    <row r="5011" spans="1:1" x14ac:dyDescent="0.25">
      <c r="A5011" s="7"/>
    </row>
    <row r="5012" spans="1:1" x14ac:dyDescent="0.25">
      <c r="A5012" s="7"/>
    </row>
    <row r="5013" spans="1:1" x14ac:dyDescent="0.25">
      <c r="A5013" s="7"/>
    </row>
    <row r="5014" spans="1:1" x14ac:dyDescent="0.25">
      <c r="A5014" s="7"/>
    </row>
    <row r="5015" spans="1:1" x14ac:dyDescent="0.25">
      <c r="A5015" s="7"/>
    </row>
    <row r="5016" spans="1:1" x14ac:dyDescent="0.25">
      <c r="A5016" s="7"/>
    </row>
    <row r="5017" spans="1:1" x14ac:dyDescent="0.25">
      <c r="A5017" s="7"/>
    </row>
    <row r="5018" spans="1:1" x14ac:dyDescent="0.25">
      <c r="A5018" s="7"/>
    </row>
    <row r="5019" spans="1:1" x14ac:dyDescent="0.25">
      <c r="A5019" s="7"/>
    </row>
    <row r="5020" spans="1:1" x14ac:dyDescent="0.25">
      <c r="A5020" s="7"/>
    </row>
    <row r="5021" spans="1:1" x14ac:dyDescent="0.25">
      <c r="A5021" s="7"/>
    </row>
    <row r="5022" spans="1:1" x14ac:dyDescent="0.25">
      <c r="A5022" s="7"/>
    </row>
    <row r="5023" spans="1:1" x14ac:dyDescent="0.25">
      <c r="A5023" s="7"/>
    </row>
    <row r="5024" spans="1:1" x14ac:dyDescent="0.25">
      <c r="A5024" s="7"/>
    </row>
    <row r="5025" spans="1:1" x14ac:dyDescent="0.25">
      <c r="A5025" s="7"/>
    </row>
    <row r="5026" spans="1:1" x14ac:dyDescent="0.25">
      <c r="A5026" s="7"/>
    </row>
    <row r="5027" spans="1:1" x14ac:dyDescent="0.25">
      <c r="A5027" s="7"/>
    </row>
    <row r="5028" spans="1:1" x14ac:dyDescent="0.25">
      <c r="A5028" s="7"/>
    </row>
    <row r="5029" spans="1:1" x14ac:dyDescent="0.25">
      <c r="A5029" s="7"/>
    </row>
    <row r="5030" spans="1:1" x14ac:dyDescent="0.25">
      <c r="A5030" s="7"/>
    </row>
    <row r="5031" spans="1:1" x14ac:dyDescent="0.25">
      <c r="A5031" s="7"/>
    </row>
    <row r="5032" spans="1:1" x14ac:dyDescent="0.25">
      <c r="A5032" s="7"/>
    </row>
    <row r="5033" spans="1:1" x14ac:dyDescent="0.25">
      <c r="A5033" s="7"/>
    </row>
    <row r="5034" spans="1:1" x14ac:dyDescent="0.25">
      <c r="A5034" s="7"/>
    </row>
    <row r="5035" spans="1:1" x14ac:dyDescent="0.25">
      <c r="A5035" s="7"/>
    </row>
    <row r="5036" spans="1:1" x14ac:dyDescent="0.25">
      <c r="A5036" s="7"/>
    </row>
    <row r="5037" spans="1:1" x14ac:dyDescent="0.25">
      <c r="A5037" s="7"/>
    </row>
    <row r="5038" spans="1:1" x14ac:dyDescent="0.25">
      <c r="A5038" s="7"/>
    </row>
    <row r="5039" spans="1:1" x14ac:dyDescent="0.25">
      <c r="A5039" s="7"/>
    </row>
    <row r="5040" spans="1:1" x14ac:dyDescent="0.25">
      <c r="A5040" s="7"/>
    </row>
    <row r="5041" spans="1:1" x14ac:dyDescent="0.25">
      <c r="A5041" s="7"/>
    </row>
    <row r="5042" spans="1:1" x14ac:dyDescent="0.25">
      <c r="A5042" s="7"/>
    </row>
    <row r="5043" spans="1:1" x14ac:dyDescent="0.25">
      <c r="A5043" s="7"/>
    </row>
    <row r="5044" spans="1:1" x14ac:dyDescent="0.25">
      <c r="A5044" s="7"/>
    </row>
    <row r="5045" spans="1:1" x14ac:dyDescent="0.25">
      <c r="A5045" s="7"/>
    </row>
    <row r="5046" spans="1:1" x14ac:dyDescent="0.25">
      <c r="A5046" s="7"/>
    </row>
    <row r="5047" spans="1:1" x14ac:dyDescent="0.25">
      <c r="A5047" s="7"/>
    </row>
    <row r="5048" spans="1:1" x14ac:dyDescent="0.25">
      <c r="A5048" s="7"/>
    </row>
    <row r="5049" spans="1:1" x14ac:dyDescent="0.25">
      <c r="A5049" s="7"/>
    </row>
    <row r="5050" spans="1:1" x14ac:dyDescent="0.25">
      <c r="A5050" s="7"/>
    </row>
    <row r="5051" spans="1:1" x14ac:dyDescent="0.25">
      <c r="A5051" s="7"/>
    </row>
    <row r="5052" spans="1:1" x14ac:dyDescent="0.25">
      <c r="A5052" s="7"/>
    </row>
    <row r="5053" spans="1:1" x14ac:dyDescent="0.25">
      <c r="A5053" s="7"/>
    </row>
    <row r="5054" spans="1:1" x14ac:dyDescent="0.25">
      <c r="A5054" s="7"/>
    </row>
    <row r="5055" spans="1:1" x14ac:dyDescent="0.25">
      <c r="A5055" s="7"/>
    </row>
    <row r="5056" spans="1:1" x14ac:dyDescent="0.25">
      <c r="A5056" s="7"/>
    </row>
    <row r="5057" spans="1:1" x14ac:dyDescent="0.25">
      <c r="A5057" s="7"/>
    </row>
    <row r="5058" spans="1:1" x14ac:dyDescent="0.25">
      <c r="A5058" s="7"/>
    </row>
    <row r="5059" spans="1:1" x14ac:dyDescent="0.25">
      <c r="A5059" s="7"/>
    </row>
    <row r="5060" spans="1:1" x14ac:dyDescent="0.25">
      <c r="A5060" s="7"/>
    </row>
    <row r="5061" spans="1:1" x14ac:dyDescent="0.25">
      <c r="A5061" s="7"/>
    </row>
    <row r="5062" spans="1:1" x14ac:dyDescent="0.25">
      <c r="A5062" s="7"/>
    </row>
    <row r="5063" spans="1:1" x14ac:dyDescent="0.25">
      <c r="A5063" s="7"/>
    </row>
    <row r="5064" spans="1:1" x14ac:dyDescent="0.25">
      <c r="A5064" s="7"/>
    </row>
    <row r="5065" spans="1:1" x14ac:dyDescent="0.25">
      <c r="A5065" s="7"/>
    </row>
    <row r="5066" spans="1:1" x14ac:dyDescent="0.25">
      <c r="A5066" s="7"/>
    </row>
    <row r="5067" spans="1:1" x14ac:dyDescent="0.25">
      <c r="A5067" s="7"/>
    </row>
    <row r="5068" spans="1:1" x14ac:dyDescent="0.25">
      <c r="A5068" s="7"/>
    </row>
    <row r="5069" spans="1:1" x14ac:dyDescent="0.25">
      <c r="A5069" s="7"/>
    </row>
    <row r="5070" spans="1:1" x14ac:dyDescent="0.25">
      <c r="A5070" s="7"/>
    </row>
    <row r="5071" spans="1:1" x14ac:dyDescent="0.25">
      <c r="A5071" s="7"/>
    </row>
    <row r="5072" spans="1:1" x14ac:dyDescent="0.25">
      <c r="A5072" s="7"/>
    </row>
    <row r="5073" spans="1:1" x14ac:dyDescent="0.25">
      <c r="A5073" s="7"/>
    </row>
    <row r="5074" spans="1:1" x14ac:dyDescent="0.25">
      <c r="A5074" s="7"/>
    </row>
    <row r="5075" spans="1:1" x14ac:dyDescent="0.25">
      <c r="A5075" s="7"/>
    </row>
    <row r="5076" spans="1:1" x14ac:dyDescent="0.25">
      <c r="A5076" s="7"/>
    </row>
    <row r="5077" spans="1:1" x14ac:dyDescent="0.25">
      <c r="A5077" s="7"/>
    </row>
    <row r="5078" spans="1:1" x14ac:dyDescent="0.25">
      <c r="A5078" s="7"/>
    </row>
    <row r="5079" spans="1:1" x14ac:dyDescent="0.25">
      <c r="A5079" s="7"/>
    </row>
    <row r="5080" spans="1:1" x14ac:dyDescent="0.25">
      <c r="A5080" s="7"/>
    </row>
    <row r="5081" spans="1:1" x14ac:dyDescent="0.25">
      <c r="A5081" s="7"/>
    </row>
    <row r="5082" spans="1:1" x14ac:dyDescent="0.25">
      <c r="A5082" s="7"/>
    </row>
    <row r="5083" spans="1:1" x14ac:dyDescent="0.25">
      <c r="A5083" s="7"/>
    </row>
    <row r="5084" spans="1:1" x14ac:dyDescent="0.25">
      <c r="A5084" s="7"/>
    </row>
    <row r="5085" spans="1:1" x14ac:dyDescent="0.25">
      <c r="A5085" s="7"/>
    </row>
    <row r="5086" spans="1:1" x14ac:dyDescent="0.25">
      <c r="A5086" s="7"/>
    </row>
    <row r="5087" spans="1:1" x14ac:dyDescent="0.25">
      <c r="A5087" s="7"/>
    </row>
    <row r="5088" spans="1:1" x14ac:dyDescent="0.25">
      <c r="A5088" s="7"/>
    </row>
    <row r="5089" spans="1:1" x14ac:dyDescent="0.25">
      <c r="A5089" s="7"/>
    </row>
    <row r="5090" spans="1:1" x14ac:dyDescent="0.25">
      <c r="A5090" s="7"/>
    </row>
    <row r="5091" spans="1:1" x14ac:dyDescent="0.25">
      <c r="A5091" s="7"/>
    </row>
    <row r="5092" spans="1:1" x14ac:dyDescent="0.25">
      <c r="A5092" s="7"/>
    </row>
    <row r="5093" spans="1:1" x14ac:dyDescent="0.25">
      <c r="A5093" s="7"/>
    </row>
    <row r="5094" spans="1:1" x14ac:dyDescent="0.25">
      <c r="A5094" s="7"/>
    </row>
    <row r="5095" spans="1:1" x14ac:dyDescent="0.25">
      <c r="A5095" s="7"/>
    </row>
    <row r="5096" spans="1:1" x14ac:dyDescent="0.25">
      <c r="A5096" s="7"/>
    </row>
    <row r="5097" spans="1:1" x14ac:dyDescent="0.25">
      <c r="A5097" s="7"/>
    </row>
    <row r="5098" spans="1:1" x14ac:dyDescent="0.25">
      <c r="A5098" s="7"/>
    </row>
    <row r="5099" spans="1:1" x14ac:dyDescent="0.25">
      <c r="A5099" s="7"/>
    </row>
    <row r="5100" spans="1:1" x14ac:dyDescent="0.25">
      <c r="A5100" s="7"/>
    </row>
    <row r="5101" spans="1:1" x14ac:dyDescent="0.25">
      <c r="A5101" s="7"/>
    </row>
    <row r="5102" spans="1:1" x14ac:dyDescent="0.25">
      <c r="A5102" s="7"/>
    </row>
    <row r="5103" spans="1:1" x14ac:dyDescent="0.25">
      <c r="A5103" s="7"/>
    </row>
    <row r="5104" spans="1:1" x14ac:dyDescent="0.25">
      <c r="A5104" s="7"/>
    </row>
    <row r="5105" spans="1:1" x14ac:dyDescent="0.25">
      <c r="A5105" s="7"/>
    </row>
    <row r="5106" spans="1:1" x14ac:dyDescent="0.25">
      <c r="A5106" s="7"/>
    </row>
    <row r="5107" spans="1:1" x14ac:dyDescent="0.25">
      <c r="A5107" s="7"/>
    </row>
    <row r="5108" spans="1:1" x14ac:dyDescent="0.25">
      <c r="A5108" s="7"/>
    </row>
    <row r="5109" spans="1:1" x14ac:dyDescent="0.25">
      <c r="A5109" s="7"/>
    </row>
    <row r="5110" spans="1:1" x14ac:dyDescent="0.25">
      <c r="A5110" s="7"/>
    </row>
    <row r="5111" spans="1:1" x14ac:dyDescent="0.25">
      <c r="A5111" s="7"/>
    </row>
    <row r="5112" spans="1:1" x14ac:dyDescent="0.25">
      <c r="A5112" s="7"/>
    </row>
    <row r="5113" spans="1:1" x14ac:dyDescent="0.25">
      <c r="A5113" s="7"/>
    </row>
    <row r="5114" spans="1:1" x14ac:dyDescent="0.25">
      <c r="A5114" s="7"/>
    </row>
    <row r="5115" spans="1:1" x14ac:dyDescent="0.25">
      <c r="A5115" s="7"/>
    </row>
    <row r="5116" spans="1:1" x14ac:dyDescent="0.25">
      <c r="A5116" s="7"/>
    </row>
    <row r="5117" spans="1:1" x14ac:dyDescent="0.25">
      <c r="A5117" s="7"/>
    </row>
    <row r="5118" spans="1:1" x14ac:dyDescent="0.25">
      <c r="A5118" s="7"/>
    </row>
    <row r="5119" spans="1:1" x14ac:dyDescent="0.25">
      <c r="A5119" s="7"/>
    </row>
    <row r="5120" spans="1:1" x14ac:dyDescent="0.25">
      <c r="A5120" s="7"/>
    </row>
    <row r="5121" spans="1:1" x14ac:dyDescent="0.25">
      <c r="A5121" s="7"/>
    </row>
    <row r="5122" spans="1:1" x14ac:dyDescent="0.25">
      <c r="A5122" s="7"/>
    </row>
    <row r="5123" spans="1:1" x14ac:dyDescent="0.25">
      <c r="A5123" s="7"/>
    </row>
    <row r="5124" spans="1:1" x14ac:dyDescent="0.25">
      <c r="A5124" s="7"/>
    </row>
    <row r="5125" spans="1:1" x14ac:dyDescent="0.25">
      <c r="A5125" s="7"/>
    </row>
    <row r="5126" spans="1:1" x14ac:dyDescent="0.25">
      <c r="A5126" s="7"/>
    </row>
    <row r="5127" spans="1:1" x14ac:dyDescent="0.25">
      <c r="A5127" s="7"/>
    </row>
    <row r="5128" spans="1:1" x14ac:dyDescent="0.25">
      <c r="A5128" s="7"/>
    </row>
    <row r="5129" spans="1:1" x14ac:dyDescent="0.25">
      <c r="A5129" s="7"/>
    </row>
    <row r="5130" spans="1:1" x14ac:dyDescent="0.25">
      <c r="A5130" s="7"/>
    </row>
    <row r="5131" spans="1:1" x14ac:dyDescent="0.25">
      <c r="A5131" s="7"/>
    </row>
    <row r="5132" spans="1:1" x14ac:dyDescent="0.25">
      <c r="A5132" s="7"/>
    </row>
    <row r="5133" spans="1:1" x14ac:dyDescent="0.25">
      <c r="A5133" s="7"/>
    </row>
    <row r="5134" spans="1:1" x14ac:dyDescent="0.25">
      <c r="A5134" s="7"/>
    </row>
    <row r="5135" spans="1:1" x14ac:dyDescent="0.25">
      <c r="A5135" s="7"/>
    </row>
    <row r="5136" spans="1:1" x14ac:dyDescent="0.25">
      <c r="A5136" s="7"/>
    </row>
    <row r="5137" spans="1:1" x14ac:dyDescent="0.25">
      <c r="A5137" s="7"/>
    </row>
    <row r="5138" spans="1:1" x14ac:dyDescent="0.25">
      <c r="A5138" s="7"/>
    </row>
    <row r="5139" spans="1:1" x14ac:dyDescent="0.25">
      <c r="A5139" s="7"/>
    </row>
    <row r="5140" spans="1:1" x14ac:dyDescent="0.25">
      <c r="A5140" s="7"/>
    </row>
    <row r="5141" spans="1:1" x14ac:dyDescent="0.25">
      <c r="A5141" s="7"/>
    </row>
    <row r="5142" spans="1:1" x14ac:dyDescent="0.25">
      <c r="A5142" s="7"/>
    </row>
    <row r="5143" spans="1:1" x14ac:dyDescent="0.25">
      <c r="A5143" s="7"/>
    </row>
    <row r="5144" spans="1:1" x14ac:dyDescent="0.25">
      <c r="A5144" s="7"/>
    </row>
    <row r="5145" spans="1:1" x14ac:dyDescent="0.25">
      <c r="A5145" s="7"/>
    </row>
    <row r="5146" spans="1:1" x14ac:dyDescent="0.25">
      <c r="A5146" s="7"/>
    </row>
    <row r="5147" spans="1:1" x14ac:dyDescent="0.25">
      <c r="A5147" s="7"/>
    </row>
    <row r="5148" spans="1:1" x14ac:dyDescent="0.25">
      <c r="A5148" s="7"/>
    </row>
    <row r="5149" spans="1:1" x14ac:dyDescent="0.25">
      <c r="A5149" s="7"/>
    </row>
    <row r="5150" spans="1:1" x14ac:dyDescent="0.25">
      <c r="A5150" s="7"/>
    </row>
    <row r="5151" spans="1:1" x14ac:dyDescent="0.25">
      <c r="A5151" s="7"/>
    </row>
    <row r="5152" spans="1:1" x14ac:dyDescent="0.25">
      <c r="A5152" s="7"/>
    </row>
    <row r="5153" spans="1:1" x14ac:dyDescent="0.25">
      <c r="A5153" s="7"/>
    </row>
    <row r="5154" spans="1:1" x14ac:dyDescent="0.25">
      <c r="A5154" s="7"/>
    </row>
    <row r="5155" spans="1:1" x14ac:dyDescent="0.25">
      <c r="A5155" s="7"/>
    </row>
    <row r="5156" spans="1:1" x14ac:dyDescent="0.25">
      <c r="A5156" s="7"/>
    </row>
    <row r="5157" spans="1:1" x14ac:dyDescent="0.25">
      <c r="A5157" s="7"/>
    </row>
    <row r="5158" spans="1:1" x14ac:dyDescent="0.25">
      <c r="A5158" s="7"/>
    </row>
    <row r="5159" spans="1:1" x14ac:dyDescent="0.25">
      <c r="A5159" s="7"/>
    </row>
    <row r="5160" spans="1:1" x14ac:dyDescent="0.25">
      <c r="A5160" s="7"/>
    </row>
    <row r="5161" spans="1:1" x14ac:dyDescent="0.25">
      <c r="A5161" s="7"/>
    </row>
    <row r="5162" spans="1:1" x14ac:dyDescent="0.25">
      <c r="A5162" s="7"/>
    </row>
    <row r="5163" spans="1:1" x14ac:dyDescent="0.25">
      <c r="A5163" s="7"/>
    </row>
    <row r="5164" spans="1:1" x14ac:dyDescent="0.25">
      <c r="A5164" s="7"/>
    </row>
    <row r="5165" spans="1:1" x14ac:dyDescent="0.25">
      <c r="A5165" s="7"/>
    </row>
    <row r="5166" spans="1:1" x14ac:dyDescent="0.25">
      <c r="A5166" s="7"/>
    </row>
    <row r="5167" spans="1:1" x14ac:dyDescent="0.25">
      <c r="A5167" s="7"/>
    </row>
    <row r="5168" spans="1:1" x14ac:dyDescent="0.25">
      <c r="A5168" s="7"/>
    </row>
    <row r="5169" spans="1:1" x14ac:dyDescent="0.25">
      <c r="A5169" s="7"/>
    </row>
    <row r="5170" spans="1:1" x14ac:dyDescent="0.25">
      <c r="A5170" s="7"/>
    </row>
    <row r="5171" spans="1:1" x14ac:dyDescent="0.25">
      <c r="A5171" s="7"/>
    </row>
    <row r="5172" spans="1:1" x14ac:dyDescent="0.25">
      <c r="A5172" s="7"/>
    </row>
    <row r="5173" spans="1:1" x14ac:dyDescent="0.25">
      <c r="A5173" s="7"/>
    </row>
    <row r="5174" spans="1:1" x14ac:dyDescent="0.25">
      <c r="A5174" s="7"/>
    </row>
    <row r="5175" spans="1:1" x14ac:dyDescent="0.25">
      <c r="A5175" s="7"/>
    </row>
    <row r="5176" spans="1:1" x14ac:dyDescent="0.25">
      <c r="A5176" s="7"/>
    </row>
    <row r="5177" spans="1:1" x14ac:dyDescent="0.25">
      <c r="A5177" s="7"/>
    </row>
    <row r="5178" spans="1:1" x14ac:dyDescent="0.25">
      <c r="A5178" s="7"/>
    </row>
    <row r="5179" spans="1:1" x14ac:dyDescent="0.25">
      <c r="A5179" s="7"/>
    </row>
    <row r="5180" spans="1:1" x14ac:dyDescent="0.25">
      <c r="A5180" s="7"/>
    </row>
    <row r="5181" spans="1:1" x14ac:dyDescent="0.25">
      <c r="A5181" s="7"/>
    </row>
    <row r="5182" spans="1:1" x14ac:dyDescent="0.25">
      <c r="A5182" s="7"/>
    </row>
    <row r="5183" spans="1:1" x14ac:dyDescent="0.25">
      <c r="A5183" s="7"/>
    </row>
    <row r="5184" spans="1:1" x14ac:dyDescent="0.25">
      <c r="A5184" s="7"/>
    </row>
    <row r="5185" spans="1:1" x14ac:dyDescent="0.25">
      <c r="A5185" s="7"/>
    </row>
    <row r="5186" spans="1:1" x14ac:dyDescent="0.25">
      <c r="A5186" s="7"/>
    </row>
    <row r="5187" spans="1:1" x14ac:dyDescent="0.25">
      <c r="A5187" s="7"/>
    </row>
    <row r="5188" spans="1:1" x14ac:dyDescent="0.25">
      <c r="A5188" s="7"/>
    </row>
    <row r="5189" spans="1:1" x14ac:dyDescent="0.25">
      <c r="A5189" s="7"/>
    </row>
    <row r="5190" spans="1:1" x14ac:dyDescent="0.25">
      <c r="A5190" s="7"/>
    </row>
    <row r="5191" spans="1:1" x14ac:dyDescent="0.25">
      <c r="A5191" s="7"/>
    </row>
    <row r="5192" spans="1:1" x14ac:dyDescent="0.25">
      <c r="A5192" s="7"/>
    </row>
    <row r="5193" spans="1:1" x14ac:dyDescent="0.25">
      <c r="A5193" s="7"/>
    </row>
    <row r="5194" spans="1:1" x14ac:dyDescent="0.25">
      <c r="A5194" s="7"/>
    </row>
    <row r="5195" spans="1:1" x14ac:dyDescent="0.25">
      <c r="A5195" s="7"/>
    </row>
    <row r="5196" spans="1:1" x14ac:dyDescent="0.25">
      <c r="A5196" s="7"/>
    </row>
    <row r="5197" spans="1:1" x14ac:dyDescent="0.25">
      <c r="A5197" s="7"/>
    </row>
    <row r="5198" spans="1:1" x14ac:dyDescent="0.25">
      <c r="A5198" s="7"/>
    </row>
    <row r="5199" spans="1:1" x14ac:dyDescent="0.25">
      <c r="A5199" s="7"/>
    </row>
    <row r="5200" spans="1:1" x14ac:dyDescent="0.25">
      <c r="A5200" s="7"/>
    </row>
    <row r="5201" spans="1:1" x14ac:dyDescent="0.25">
      <c r="A5201" s="7"/>
    </row>
    <row r="5202" spans="1:1" x14ac:dyDescent="0.25">
      <c r="A5202" s="7"/>
    </row>
    <row r="5203" spans="1:1" x14ac:dyDescent="0.25">
      <c r="A5203" s="7"/>
    </row>
    <row r="5204" spans="1:1" x14ac:dyDescent="0.25">
      <c r="A5204" s="7"/>
    </row>
    <row r="5205" spans="1:1" x14ac:dyDescent="0.25">
      <c r="A5205" s="7"/>
    </row>
    <row r="5206" spans="1:1" x14ac:dyDescent="0.25">
      <c r="A5206" s="7"/>
    </row>
    <row r="5207" spans="1:1" x14ac:dyDescent="0.25">
      <c r="A5207" s="7"/>
    </row>
    <row r="5208" spans="1:1" x14ac:dyDescent="0.25">
      <c r="A5208" s="7"/>
    </row>
    <row r="5209" spans="1:1" x14ac:dyDescent="0.25">
      <c r="A5209" s="7"/>
    </row>
    <row r="5210" spans="1:1" x14ac:dyDescent="0.25">
      <c r="A5210" s="7"/>
    </row>
    <row r="5211" spans="1:1" x14ac:dyDescent="0.25">
      <c r="A5211" s="7"/>
    </row>
    <row r="5212" spans="1:1" x14ac:dyDescent="0.25">
      <c r="A5212" s="7"/>
    </row>
    <row r="5213" spans="1:1" x14ac:dyDescent="0.25">
      <c r="A5213" s="7"/>
    </row>
    <row r="5214" spans="1:1" x14ac:dyDescent="0.25">
      <c r="A5214" s="7"/>
    </row>
    <row r="5215" spans="1:1" x14ac:dyDescent="0.25">
      <c r="A5215" s="7"/>
    </row>
    <row r="5216" spans="1:1" x14ac:dyDescent="0.25">
      <c r="A5216" s="7"/>
    </row>
    <row r="5217" spans="1:1" x14ac:dyDescent="0.25">
      <c r="A5217" s="7"/>
    </row>
    <row r="5218" spans="1:1" x14ac:dyDescent="0.25">
      <c r="A5218" s="7"/>
    </row>
    <row r="5219" spans="1:1" x14ac:dyDescent="0.25">
      <c r="A5219" s="7"/>
    </row>
    <row r="5220" spans="1:1" x14ac:dyDescent="0.25">
      <c r="A5220" s="7"/>
    </row>
    <row r="5221" spans="1:1" x14ac:dyDescent="0.25">
      <c r="A5221" s="7"/>
    </row>
    <row r="5222" spans="1:1" x14ac:dyDescent="0.25">
      <c r="A5222" s="7"/>
    </row>
    <row r="5223" spans="1:1" x14ac:dyDescent="0.25">
      <c r="A5223" s="7"/>
    </row>
    <row r="5224" spans="1:1" x14ac:dyDescent="0.25">
      <c r="A5224" s="7"/>
    </row>
    <row r="5225" spans="1:1" x14ac:dyDescent="0.25">
      <c r="A5225" s="7"/>
    </row>
    <row r="5226" spans="1:1" x14ac:dyDescent="0.25">
      <c r="A5226" s="7"/>
    </row>
    <row r="5227" spans="1:1" x14ac:dyDescent="0.25">
      <c r="A5227" s="7"/>
    </row>
    <row r="5228" spans="1:1" x14ac:dyDescent="0.25">
      <c r="A5228" s="7"/>
    </row>
    <row r="5229" spans="1:1" x14ac:dyDescent="0.25">
      <c r="A5229" s="7"/>
    </row>
    <row r="5230" spans="1:1" x14ac:dyDescent="0.25">
      <c r="A5230" s="7"/>
    </row>
    <row r="5231" spans="1:1" x14ac:dyDescent="0.25">
      <c r="A5231" s="7"/>
    </row>
    <row r="5232" spans="1:1" x14ac:dyDescent="0.25">
      <c r="A5232" s="7"/>
    </row>
    <row r="5233" spans="1:1" x14ac:dyDescent="0.25">
      <c r="A5233" s="7"/>
    </row>
    <row r="5234" spans="1:1" x14ac:dyDescent="0.25">
      <c r="A5234" s="7"/>
    </row>
    <row r="5235" spans="1:1" x14ac:dyDescent="0.25">
      <c r="A5235" s="7"/>
    </row>
    <row r="5236" spans="1:1" x14ac:dyDescent="0.25">
      <c r="A5236" s="7"/>
    </row>
    <row r="5237" spans="1:1" x14ac:dyDescent="0.25">
      <c r="A5237" s="7"/>
    </row>
    <row r="5238" spans="1:1" x14ac:dyDescent="0.25">
      <c r="A5238" s="7"/>
    </row>
    <row r="5239" spans="1:1" x14ac:dyDescent="0.25">
      <c r="A5239" s="7"/>
    </row>
    <row r="5240" spans="1:1" x14ac:dyDescent="0.25">
      <c r="A5240" s="7"/>
    </row>
    <row r="5241" spans="1:1" x14ac:dyDescent="0.25">
      <c r="A5241" s="7"/>
    </row>
    <row r="5242" spans="1:1" x14ac:dyDescent="0.25">
      <c r="A5242" s="7"/>
    </row>
    <row r="5243" spans="1:1" x14ac:dyDescent="0.25">
      <c r="A5243" s="7"/>
    </row>
    <row r="5244" spans="1:1" x14ac:dyDescent="0.25">
      <c r="A5244" s="7"/>
    </row>
    <row r="5245" spans="1:1" x14ac:dyDescent="0.25">
      <c r="A5245" s="7"/>
    </row>
    <row r="5246" spans="1:1" x14ac:dyDescent="0.25">
      <c r="A5246" s="7"/>
    </row>
    <row r="5247" spans="1:1" x14ac:dyDescent="0.25">
      <c r="A5247" s="7"/>
    </row>
    <row r="5248" spans="1:1" x14ac:dyDescent="0.25">
      <c r="A5248" s="7"/>
    </row>
    <row r="5249" spans="1:1" x14ac:dyDescent="0.25">
      <c r="A5249" s="7"/>
    </row>
    <row r="5250" spans="1:1" x14ac:dyDescent="0.25">
      <c r="A5250" s="7"/>
    </row>
    <row r="5251" spans="1:1" x14ac:dyDescent="0.25">
      <c r="A5251" s="7"/>
    </row>
    <row r="5252" spans="1:1" x14ac:dyDescent="0.25">
      <c r="A5252" s="7"/>
    </row>
    <row r="5253" spans="1:1" x14ac:dyDescent="0.25">
      <c r="A5253" s="7"/>
    </row>
    <row r="5254" spans="1:1" x14ac:dyDescent="0.25">
      <c r="A5254" s="7"/>
    </row>
    <row r="5255" spans="1:1" x14ac:dyDescent="0.25">
      <c r="A5255" s="7"/>
    </row>
    <row r="5256" spans="1:1" x14ac:dyDescent="0.25">
      <c r="A5256" s="7"/>
    </row>
    <row r="5257" spans="1:1" x14ac:dyDescent="0.25">
      <c r="A5257" s="7"/>
    </row>
    <row r="5258" spans="1:1" x14ac:dyDescent="0.25">
      <c r="A5258" s="7"/>
    </row>
    <row r="5259" spans="1:1" x14ac:dyDescent="0.25">
      <c r="A5259" s="7"/>
    </row>
    <row r="5260" spans="1:1" x14ac:dyDescent="0.25">
      <c r="A5260" s="7"/>
    </row>
    <row r="5261" spans="1:1" x14ac:dyDescent="0.25">
      <c r="A5261" s="7"/>
    </row>
    <row r="5262" spans="1:1" x14ac:dyDescent="0.25">
      <c r="A5262" s="7"/>
    </row>
    <row r="5263" spans="1:1" x14ac:dyDescent="0.25">
      <c r="A5263" s="7"/>
    </row>
    <row r="5264" spans="1:1" x14ac:dyDescent="0.25">
      <c r="A5264" s="7"/>
    </row>
    <row r="5265" spans="1:1" x14ac:dyDescent="0.25">
      <c r="A5265" s="7"/>
    </row>
    <row r="5266" spans="1:1" x14ac:dyDescent="0.25">
      <c r="A5266" s="7"/>
    </row>
    <row r="5267" spans="1:1" x14ac:dyDescent="0.25">
      <c r="A5267" s="7"/>
    </row>
    <row r="5268" spans="1:1" x14ac:dyDescent="0.25">
      <c r="A5268" s="7"/>
    </row>
    <row r="5269" spans="1:1" x14ac:dyDescent="0.25">
      <c r="A5269" s="7"/>
    </row>
    <row r="5270" spans="1:1" x14ac:dyDescent="0.25">
      <c r="A5270" s="7"/>
    </row>
    <row r="5271" spans="1:1" x14ac:dyDescent="0.25">
      <c r="A5271" s="7"/>
    </row>
    <row r="5272" spans="1:1" x14ac:dyDescent="0.25">
      <c r="A5272" s="7"/>
    </row>
    <row r="5273" spans="1:1" x14ac:dyDescent="0.25">
      <c r="A5273" s="7"/>
    </row>
    <row r="5274" spans="1:1" x14ac:dyDescent="0.25">
      <c r="A5274" s="7"/>
    </row>
    <row r="5275" spans="1:1" x14ac:dyDescent="0.25">
      <c r="A5275" s="7"/>
    </row>
    <row r="5276" spans="1:1" x14ac:dyDescent="0.25">
      <c r="A5276" s="7"/>
    </row>
    <row r="5277" spans="1:1" x14ac:dyDescent="0.25">
      <c r="A5277" s="7"/>
    </row>
    <row r="5278" spans="1:1" x14ac:dyDescent="0.25">
      <c r="A5278" s="7"/>
    </row>
    <row r="5279" spans="1:1" x14ac:dyDescent="0.25">
      <c r="A5279" s="7"/>
    </row>
    <row r="5280" spans="1:1" x14ac:dyDescent="0.25">
      <c r="A5280" s="7"/>
    </row>
    <row r="5281" spans="1:1" x14ac:dyDescent="0.25">
      <c r="A5281" s="7"/>
    </row>
    <row r="5282" spans="1:1" x14ac:dyDescent="0.25">
      <c r="A5282" s="7"/>
    </row>
    <row r="5283" spans="1:1" x14ac:dyDescent="0.25">
      <c r="A5283" s="7"/>
    </row>
    <row r="5284" spans="1:1" x14ac:dyDescent="0.25">
      <c r="A5284" s="7"/>
    </row>
    <row r="5285" spans="1:1" x14ac:dyDescent="0.25">
      <c r="A5285" s="7"/>
    </row>
    <row r="5286" spans="1:1" x14ac:dyDescent="0.25">
      <c r="A5286" s="7"/>
    </row>
    <row r="5287" spans="1:1" x14ac:dyDescent="0.25">
      <c r="A5287" s="7"/>
    </row>
    <row r="5288" spans="1:1" x14ac:dyDescent="0.25">
      <c r="A5288" s="7"/>
    </row>
    <row r="5289" spans="1:1" x14ac:dyDescent="0.25">
      <c r="A5289" s="7"/>
    </row>
    <row r="5290" spans="1:1" x14ac:dyDescent="0.25">
      <c r="A5290" s="7"/>
    </row>
    <row r="5291" spans="1:1" x14ac:dyDescent="0.25">
      <c r="A5291" s="7"/>
    </row>
    <row r="5292" spans="1:1" x14ac:dyDescent="0.25">
      <c r="A5292" s="7"/>
    </row>
    <row r="5293" spans="1:1" x14ac:dyDescent="0.25">
      <c r="A5293" s="7"/>
    </row>
    <row r="5294" spans="1:1" x14ac:dyDescent="0.25">
      <c r="A5294" s="7"/>
    </row>
    <row r="5295" spans="1:1" x14ac:dyDescent="0.25">
      <c r="A5295" s="7"/>
    </row>
    <row r="5296" spans="1:1" x14ac:dyDescent="0.25">
      <c r="A5296" s="7"/>
    </row>
    <row r="5297" spans="1:1" x14ac:dyDescent="0.25">
      <c r="A5297" s="7"/>
    </row>
    <row r="5298" spans="1:1" x14ac:dyDescent="0.25">
      <c r="A5298" s="7"/>
    </row>
    <row r="5299" spans="1:1" x14ac:dyDescent="0.25">
      <c r="A5299" s="7"/>
    </row>
    <row r="5300" spans="1:1" x14ac:dyDescent="0.25">
      <c r="A5300" s="7"/>
    </row>
    <row r="5301" spans="1:1" x14ac:dyDescent="0.25">
      <c r="A5301" s="7"/>
    </row>
    <row r="5302" spans="1:1" x14ac:dyDescent="0.25">
      <c r="A5302" s="7"/>
    </row>
    <row r="5303" spans="1:1" x14ac:dyDescent="0.25">
      <c r="A5303" s="7"/>
    </row>
    <row r="5304" spans="1:1" x14ac:dyDescent="0.25">
      <c r="A5304" s="7"/>
    </row>
    <row r="5305" spans="1:1" x14ac:dyDescent="0.25">
      <c r="A5305" s="7"/>
    </row>
    <row r="5306" spans="1:1" x14ac:dyDescent="0.25">
      <c r="A5306" s="7"/>
    </row>
    <row r="5307" spans="1:1" x14ac:dyDescent="0.25">
      <c r="A5307" s="7"/>
    </row>
    <row r="5308" spans="1:1" x14ac:dyDescent="0.25">
      <c r="A5308" s="7"/>
    </row>
    <row r="5309" spans="1:1" x14ac:dyDescent="0.25">
      <c r="A5309" s="7"/>
    </row>
    <row r="5310" spans="1:1" x14ac:dyDescent="0.25">
      <c r="A5310" s="7"/>
    </row>
    <row r="5311" spans="1:1" x14ac:dyDescent="0.25">
      <c r="A5311" s="7"/>
    </row>
    <row r="5312" spans="1:1" x14ac:dyDescent="0.25">
      <c r="A5312" s="7"/>
    </row>
    <row r="5313" spans="1:1" x14ac:dyDescent="0.25">
      <c r="A5313" s="7"/>
    </row>
    <row r="5314" spans="1:1" x14ac:dyDescent="0.25">
      <c r="A5314" s="7"/>
    </row>
    <row r="5315" spans="1:1" x14ac:dyDescent="0.25">
      <c r="A5315" s="7"/>
    </row>
    <row r="5316" spans="1:1" x14ac:dyDescent="0.25">
      <c r="A5316" s="7"/>
    </row>
    <row r="5317" spans="1:1" x14ac:dyDescent="0.25">
      <c r="A5317" s="7"/>
    </row>
    <row r="5318" spans="1:1" x14ac:dyDescent="0.25">
      <c r="A5318" s="7"/>
    </row>
    <row r="5319" spans="1:1" x14ac:dyDescent="0.25">
      <c r="A5319" s="7"/>
    </row>
    <row r="5320" spans="1:1" x14ac:dyDescent="0.25">
      <c r="A5320" s="7"/>
    </row>
    <row r="5321" spans="1:1" x14ac:dyDescent="0.25">
      <c r="A5321" s="7"/>
    </row>
    <row r="5322" spans="1:1" x14ac:dyDescent="0.25">
      <c r="A5322" s="7"/>
    </row>
    <row r="5323" spans="1:1" x14ac:dyDescent="0.25">
      <c r="A5323" s="7"/>
    </row>
    <row r="5324" spans="1:1" x14ac:dyDescent="0.25">
      <c r="A5324" s="7"/>
    </row>
    <row r="5325" spans="1:1" x14ac:dyDescent="0.25">
      <c r="A5325" s="7"/>
    </row>
    <row r="5326" spans="1:1" x14ac:dyDescent="0.25">
      <c r="A5326" s="7"/>
    </row>
    <row r="5327" spans="1:1" x14ac:dyDescent="0.25">
      <c r="A5327" s="7"/>
    </row>
    <row r="5328" spans="1:1" x14ac:dyDescent="0.25">
      <c r="A5328" s="7"/>
    </row>
    <row r="5329" spans="1:1" x14ac:dyDescent="0.25">
      <c r="A5329" s="7"/>
    </row>
    <row r="5330" spans="1:1" x14ac:dyDescent="0.25">
      <c r="A5330" s="7"/>
    </row>
    <row r="5331" spans="1:1" x14ac:dyDescent="0.25">
      <c r="A5331" s="7"/>
    </row>
    <row r="5332" spans="1:1" x14ac:dyDescent="0.25">
      <c r="A5332" s="7"/>
    </row>
    <row r="5333" spans="1:1" x14ac:dyDescent="0.25">
      <c r="A5333" s="7"/>
    </row>
    <row r="5334" spans="1:1" x14ac:dyDescent="0.25">
      <c r="A5334" s="7"/>
    </row>
    <row r="5335" spans="1:1" x14ac:dyDescent="0.25">
      <c r="A5335" s="7"/>
    </row>
    <row r="5336" spans="1:1" x14ac:dyDescent="0.25">
      <c r="A5336" s="7"/>
    </row>
    <row r="5337" spans="1:1" x14ac:dyDescent="0.25">
      <c r="A5337" s="7"/>
    </row>
    <row r="5338" spans="1:1" x14ac:dyDescent="0.25">
      <c r="A5338" s="7"/>
    </row>
    <row r="5339" spans="1:1" x14ac:dyDescent="0.25">
      <c r="A5339" s="7"/>
    </row>
    <row r="5340" spans="1:1" x14ac:dyDescent="0.25">
      <c r="A5340" s="7"/>
    </row>
    <row r="5341" spans="1:1" x14ac:dyDescent="0.25">
      <c r="A5341" s="7"/>
    </row>
    <row r="5342" spans="1:1" x14ac:dyDescent="0.25">
      <c r="A5342" s="7"/>
    </row>
    <row r="5343" spans="1:1" x14ac:dyDescent="0.25">
      <c r="A5343" s="7"/>
    </row>
    <row r="5344" spans="1:1" x14ac:dyDescent="0.25">
      <c r="A5344" s="7"/>
    </row>
    <row r="5345" spans="1:1" x14ac:dyDescent="0.25">
      <c r="A5345" s="7"/>
    </row>
    <row r="5346" spans="1:1" x14ac:dyDescent="0.25">
      <c r="A5346" s="7"/>
    </row>
    <row r="5347" spans="1:1" x14ac:dyDescent="0.25">
      <c r="A5347" s="7"/>
    </row>
    <row r="5348" spans="1:1" x14ac:dyDescent="0.25">
      <c r="A5348" s="7"/>
    </row>
    <row r="5349" spans="1:1" x14ac:dyDescent="0.25">
      <c r="A5349" s="7"/>
    </row>
    <row r="5350" spans="1:1" x14ac:dyDescent="0.25">
      <c r="A5350" s="7"/>
    </row>
    <row r="5351" spans="1:1" x14ac:dyDescent="0.25">
      <c r="A5351" s="7"/>
    </row>
    <row r="5352" spans="1:1" x14ac:dyDescent="0.25">
      <c r="A5352" s="7"/>
    </row>
    <row r="5353" spans="1:1" x14ac:dyDescent="0.25">
      <c r="A5353" s="7"/>
    </row>
    <row r="5354" spans="1:1" x14ac:dyDescent="0.25">
      <c r="A5354" s="7"/>
    </row>
    <row r="5355" spans="1:1" x14ac:dyDescent="0.25">
      <c r="A5355" s="7"/>
    </row>
    <row r="5356" spans="1:1" x14ac:dyDescent="0.25">
      <c r="A5356" s="7"/>
    </row>
    <row r="5357" spans="1:1" x14ac:dyDescent="0.25">
      <c r="A5357" s="7"/>
    </row>
    <row r="5358" spans="1:1" x14ac:dyDescent="0.25">
      <c r="A5358" s="7"/>
    </row>
    <row r="5359" spans="1:1" x14ac:dyDescent="0.25">
      <c r="A5359" s="7"/>
    </row>
    <row r="5360" spans="1:1" x14ac:dyDescent="0.25">
      <c r="A5360" s="7"/>
    </row>
    <row r="5361" spans="1:1" x14ac:dyDescent="0.25">
      <c r="A5361" s="7"/>
    </row>
    <row r="5362" spans="1:1" x14ac:dyDescent="0.25">
      <c r="A5362" s="7"/>
    </row>
    <row r="5363" spans="1:1" x14ac:dyDescent="0.25">
      <c r="A5363" s="7"/>
    </row>
    <row r="5364" spans="1:1" x14ac:dyDescent="0.25">
      <c r="A5364" s="7"/>
    </row>
    <row r="5365" spans="1:1" x14ac:dyDescent="0.25">
      <c r="A5365" s="7"/>
    </row>
    <row r="5366" spans="1:1" x14ac:dyDescent="0.25">
      <c r="A5366" s="7"/>
    </row>
    <row r="5367" spans="1:1" x14ac:dyDescent="0.25">
      <c r="A5367" s="7"/>
    </row>
    <row r="5368" spans="1:1" x14ac:dyDescent="0.25">
      <c r="A5368" s="7"/>
    </row>
    <row r="5369" spans="1:1" x14ac:dyDescent="0.25">
      <c r="A5369" s="7"/>
    </row>
    <row r="5370" spans="1:1" x14ac:dyDescent="0.25">
      <c r="A5370" s="7"/>
    </row>
    <row r="5371" spans="1:1" x14ac:dyDescent="0.25">
      <c r="A5371" s="7"/>
    </row>
    <row r="5372" spans="1:1" x14ac:dyDescent="0.25">
      <c r="A5372" s="7"/>
    </row>
    <row r="5373" spans="1:1" x14ac:dyDescent="0.25">
      <c r="A5373" s="7"/>
    </row>
    <row r="5374" spans="1:1" x14ac:dyDescent="0.25">
      <c r="A5374" s="7"/>
    </row>
    <row r="5375" spans="1:1" x14ac:dyDescent="0.25">
      <c r="A5375" s="7"/>
    </row>
    <row r="5376" spans="1:1" x14ac:dyDescent="0.25">
      <c r="A5376" s="7"/>
    </row>
    <row r="5377" spans="1:1" x14ac:dyDescent="0.25">
      <c r="A5377" s="7"/>
    </row>
    <row r="5378" spans="1:1" x14ac:dyDescent="0.25">
      <c r="A5378" s="7"/>
    </row>
    <row r="5379" spans="1:1" x14ac:dyDescent="0.25">
      <c r="A5379" s="7"/>
    </row>
    <row r="5380" spans="1:1" x14ac:dyDescent="0.25">
      <c r="A5380" s="7"/>
    </row>
    <row r="5381" spans="1:1" x14ac:dyDescent="0.25">
      <c r="A5381" s="7"/>
    </row>
    <row r="5382" spans="1:1" x14ac:dyDescent="0.25">
      <c r="A5382" s="7"/>
    </row>
    <row r="5383" spans="1:1" x14ac:dyDescent="0.25">
      <c r="A5383" s="7"/>
    </row>
    <row r="5384" spans="1:1" x14ac:dyDescent="0.25">
      <c r="A5384" s="7"/>
    </row>
    <row r="5385" spans="1:1" x14ac:dyDescent="0.25">
      <c r="A5385" s="7"/>
    </row>
    <row r="5386" spans="1:1" x14ac:dyDescent="0.25">
      <c r="A5386" s="7"/>
    </row>
    <row r="5387" spans="1:1" x14ac:dyDescent="0.25">
      <c r="A5387" s="7"/>
    </row>
    <row r="5388" spans="1:1" x14ac:dyDescent="0.25">
      <c r="A5388" s="7"/>
    </row>
    <row r="5389" spans="1:1" x14ac:dyDescent="0.25">
      <c r="A5389" s="7"/>
    </row>
    <row r="5390" spans="1:1" x14ac:dyDescent="0.25">
      <c r="A5390" s="7"/>
    </row>
    <row r="5391" spans="1:1" x14ac:dyDescent="0.25">
      <c r="A5391" s="7"/>
    </row>
    <row r="5392" spans="1:1" x14ac:dyDescent="0.25">
      <c r="A5392" s="7"/>
    </row>
    <row r="5393" spans="1:1" x14ac:dyDescent="0.25">
      <c r="A5393" s="7"/>
    </row>
    <row r="5394" spans="1:1" x14ac:dyDescent="0.25">
      <c r="A5394" s="7"/>
    </row>
    <row r="5395" spans="1:1" x14ac:dyDescent="0.25">
      <c r="A5395" s="7"/>
    </row>
    <row r="5396" spans="1:1" x14ac:dyDescent="0.25">
      <c r="A5396" s="7"/>
    </row>
    <row r="5397" spans="1:1" x14ac:dyDescent="0.25">
      <c r="A5397" s="7"/>
    </row>
    <row r="5398" spans="1:1" x14ac:dyDescent="0.25">
      <c r="A5398" s="7"/>
    </row>
    <row r="5399" spans="1:1" x14ac:dyDescent="0.25">
      <c r="A5399" s="7"/>
    </row>
    <row r="5400" spans="1:1" x14ac:dyDescent="0.25">
      <c r="A5400" s="7"/>
    </row>
    <row r="5401" spans="1:1" x14ac:dyDescent="0.25">
      <c r="A5401" s="7"/>
    </row>
    <row r="5402" spans="1:1" x14ac:dyDescent="0.25">
      <c r="A5402" s="7"/>
    </row>
    <row r="5403" spans="1:1" x14ac:dyDescent="0.25">
      <c r="A5403" s="7"/>
    </row>
    <row r="5404" spans="1:1" x14ac:dyDescent="0.25">
      <c r="A5404" s="7"/>
    </row>
    <row r="5405" spans="1:1" x14ac:dyDescent="0.25">
      <c r="A5405" s="7"/>
    </row>
    <row r="5406" spans="1:1" x14ac:dyDescent="0.25">
      <c r="A5406" s="7"/>
    </row>
    <row r="5407" spans="1:1" x14ac:dyDescent="0.25">
      <c r="A5407" s="7"/>
    </row>
    <row r="5408" spans="1:1" x14ac:dyDescent="0.25">
      <c r="A5408" s="7"/>
    </row>
    <row r="5409" spans="1:1" x14ac:dyDescent="0.25">
      <c r="A5409" s="7"/>
    </row>
    <row r="5410" spans="1:1" x14ac:dyDescent="0.25">
      <c r="A5410" s="7"/>
    </row>
    <row r="5411" spans="1:1" x14ac:dyDescent="0.25">
      <c r="A5411" s="7"/>
    </row>
    <row r="5412" spans="1:1" x14ac:dyDescent="0.25">
      <c r="A5412" s="7"/>
    </row>
    <row r="5413" spans="1:1" x14ac:dyDescent="0.25">
      <c r="A5413" s="7"/>
    </row>
    <row r="5414" spans="1:1" x14ac:dyDescent="0.25">
      <c r="A5414" s="7"/>
    </row>
    <row r="5415" spans="1:1" x14ac:dyDescent="0.25">
      <c r="A5415" s="7"/>
    </row>
    <row r="5416" spans="1:1" x14ac:dyDescent="0.25">
      <c r="A5416" s="7"/>
    </row>
    <row r="5417" spans="1:1" x14ac:dyDescent="0.25">
      <c r="A5417" s="7"/>
    </row>
    <row r="5418" spans="1:1" x14ac:dyDescent="0.25">
      <c r="A5418" s="7"/>
    </row>
    <row r="5419" spans="1:1" x14ac:dyDescent="0.25">
      <c r="A5419" s="7"/>
    </row>
    <row r="5420" spans="1:1" x14ac:dyDescent="0.25">
      <c r="A5420" s="7"/>
    </row>
    <row r="5421" spans="1:1" x14ac:dyDescent="0.25">
      <c r="A5421" s="7"/>
    </row>
    <row r="5422" spans="1:1" x14ac:dyDescent="0.25">
      <c r="A5422" s="7"/>
    </row>
    <row r="5423" spans="1:1" x14ac:dyDescent="0.25">
      <c r="A5423" s="7"/>
    </row>
    <row r="5424" spans="1:1" x14ac:dyDescent="0.25">
      <c r="A5424" s="7"/>
    </row>
    <row r="5425" spans="1:1" x14ac:dyDescent="0.25">
      <c r="A5425" s="7"/>
    </row>
    <row r="5426" spans="1:1" x14ac:dyDescent="0.25">
      <c r="A5426" s="7"/>
    </row>
    <row r="5427" spans="1:1" x14ac:dyDescent="0.25">
      <c r="A5427" s="7"/>
    </row>
    <row r="5428" spans="1:1" x14ac:dyDescent="0.25">
      <c r="A5428" s="7"/>
    </row>
    <row r="5429" spans="1:1" x14ac:dyDescent="0.25">
      <c r="A5429" s="7"/>
    </row>
    <row r="5430" spans="1:1" x14ac:dyDescent="0.25">
      <c r="A5430" s="7"/>
    </row>
    <row r="5431" spans="1:1" x14ac:dyDescent="0.25">
      <c r="A5431" s="7"/>
    </row>
    <row r="5432" spans="1:1" x14ac:dyDescent="0.25">
      <c r="A5432" s="7"/>
    </row>
    <row r="5433" spans="1:1" x14ac:dyDescent="0.25">
      <c r="A5433" s="7"/>
    </row>
    <row r="5434" spans="1:1" x14ac:dyDescent="0.25">
      <c r="A5434" s="7"/>
    </row>
    <row r="5435" spans="1:1" x14ac:dyDescent="0.25">
      <c r="A5435" s="7"/>
    </row>
    <row r="5436" spans="1:1" x14ac:dyDescent="0.25">
      <c r="A5436" s="7"/>
    </row>
    <row r="5437" spans="1:1" x14ac:dyDescent="0.25">
      <c r="A5437" s="7"/>
    </row>
    <row r="5438" spans="1:1" x14ac:dyDescent="0.25">
      <c r="A5438" s="7"/>
    </row>
    <row r="5439" spans="1:1" x14ac:dyDescent="0.25">
      <c r="A5439" s="7"/>
    </row>
    <row r="5440" spans="1:1" x14ac:dyDescent="0.25">
      <c r="A5440" s="7"/>
    </row>
    <row r="5441" spans="1:1" x14ac:dyDescent="0.25">
      <c r="A5441" s="7"/>
    </row>
    <row r="5442" spans="1:1" x14ac:dyDescent="0.25">
      <c r="A5442" s="7"/>
    </row>
    <row r="5443" spans="1:1" x14ac:dyDescent="0.25">
      <c r="A5443" s="7"/>
    </row>
    <row r="5444" spans="1:1" x14ac:dyDescent="0.25">
      <c r="A5444" s="7"/>
    </row>
    <row r="5445" spans="1:1" x14ac:dyDescent="0.25">
      <c r="A5445" s="7"/>
    </row>
    <row r="5446" spans="1:1" x14ac:dyDescent="0.25">
      <c r="A5446" s="7"/>
    </row>
    <row r="5447" spans="1:1" x14ac:dyDescent="0.25">
      <c r="A5447" s="7"/>
    </row>
    <row r="5448" spans="1:1" x14ac:dyDescent="0.25">
      <c r="A5448" s="7"/>
    </row>
    <row r="5449" spans="1:1" x14ac:dyDescent="0.25">
      <c r="A5449" s="7"/>
    </row>
    <row r="5450" spans="1:1" x14ac:dyDescent="0.25">
      <c r="A5450" s="7"/>
    </row>
    <row r="5451" spans="1:1" x14ac:dyDescent="0.25">
      <c r="A5451" s="7"/>
    </row>
    <row r="5452" spans="1:1" x14ac:dyDescent="0.25">
      <c r="A5452" s="7"/>
    </row>
    <row r="5453" spans="1:1" x14ac:dyDescent="0.25">
      <c r="A5453" s="7"/>
    </row>
    <row r="5454" spans="1:1" x14ac:dyDescent="0.25">
      <c r="A5454" s="7"/>
    </row>
    <row r="5455" spans="1:1" x14ac:dyDescent="0.25">
      <c r="A5455" s="7"/>
    </row>
    <row r="5456" spans="1:1" x14ac:dyDescent="0.25">
      <c r="A5456" s="7"/>
    </row>
    <row r="5457" spans="1:1" x14ac:dyDescent="0.25">
      <c r="A5457" s="7"/>
    </row>
    <row r="5458" spans="1:1" x14ac:dyDescent="0.25">
      <c r="A5458" s="7"/>
    </row>
    <row r="5459" spans="1:1" x14ac:dyDescent="0.25">
      <c r="A5459" s="7"/>
    </row>
    <row r="5460" spans="1:1" x14ac:dyDescent="0.25">
      <c r="A5460" s="7"/>
    </row>
    <row r="5461" spans="1:1" x14ac:dyDescent="0.25">
      <c r="A5461" s="7"/>
    </row>
    <row r="5462" spans="1:1" x14ac:dyDescent="0.25">
      <c r="A5462" s="7"/>
    </row>
    <row r="5463" spans="1:1" x14ac:dyDescent="0.25">
      <c r="A5463" s="7"/>
    </row>
    <row r="5464" spans="1:1" x14ac:dyDescent="0.25">
      <c r="A5464" s="7"/>
    </row>
    <row r="5465" spans="1:1" x14ac:dyDescent="0.25">
      <c r="A5465" s="7"/>
    </row>
    <row r="5466" spans="1:1" x14ac:dyDescent="0.25">
      <c r="A5466" s="7"/>
    </row>
    <row r="5467" spans="1:1" x14ac:dyDescent="0.25">
      <c r="A5467" s="7"/>
    </row>
    <row r="5468" spans="1:1" x14ac:dyDescent="0.25">
      <c r="A5468" s="7"/>
    </row>
    <row r="5469" spans="1:1" x14ac:dyDescent="0.25">
      <c r="A5469" s="7"/>
    </row>
    <row r="5470" spans="1:1" x14ac:dyDescent="0.25">
      <c r="A5470" s="7"/>
    </row>
    <row r="5471" spans="1:1" x14ac:dyDescent="0.25">
      <c r="A5471" s="7"/>
    </row>
    <row r="5472" spans="1:1" x14ac:dyDescent="0.25">
      <c r="A5472" s="7"/>
    </row>
    <row r="5473" spans="1:1" x14ac:dyDescent="0.25">
      <c r="A5473" s="7"/>
    </row>
    <row r="5474" spans="1:1" x14ac:dyDescent="0.25">
      <c r="A5474" s="7"/>
    </row>
    <row r="5475" spans="1:1" x14ac:dyDescent="0.25">
      <c r="A5475" s="7"/>
    </row>
    <row r="5476" spans="1:1" x14ac:dyDescent="0.25">
      <c r="A5476" s="7"/>
    </row>
    <row r="5477" spans="1:1" x14ac:dyDescent="0.25">
      <c r="A5477" s="7"/>
    </row>
    <row r="5478" spans="1:1" x14ac:dyDescent="0.25">
      <c r="A5478" s="7"/>
    </row>
    <row r="5479" spans="1:1" x14ac:dyDescent="0.25">
      <c r="A5479" s="7"/>
    </row>
    <row r="5480" spans="1:1" x14ac:dyDescent="0.25">
      <c r="A5480" s="7"/>
    </row>
    <row r="5481" spans="1:1" x14ac:dyDescent="0.25">
      <c r="A5481" s="7"/>
    </row>
    <row r="5482" spans="1:1" x14ac:dyDescent="0.25">
      <c r="A5482" s="7"/>
    </row>
    <row r="5483" spans="1:1" x14ac:dyDescent="0.25">
      <c r="A5483" s="7"/>
    </row>
    <row r="5484" spans="1:1" x14ac:dyDescent="0.25">
      <c r="A5484" s="7"/>
    </row>
    <row r="5485" spans="1:1" x14ac:dyDescent="0.25">
      <c r="A5485" s="7"/>
    </row>
    <row r="5486" spans="1:1" x14ac:dyDescent="0.25">
      <c r="A5486" s="7"/>
    </row>
    <row r="5487" spans="1:1" x14ac:dyDescent="0.25">
      <c r="A5487" s="7"/>
    </row>
    <row r="5488" spans="1:1" x14ac:dyDescent="0.25">
      <c r="A5488" s="7"/>
    </row>
    <row r="5489" spans="1:1" x14ac:dyDescent="0.25">
      <c r="A5489" s="7"/>
    </row>
    <row r="5490" spans="1:1" x14ac:dyDescent="0.25">
      <c r="A5490" s="7"/>
    </row>
    <row r="5491" spans="1:1" x14ac:dyDescent="0.25">
      <c r="A5491" s="7"/>
    </row>
    <row r="5492" spans="1:1" x14ac:dyDescent="0.25">
      <c r="A5492" s="7"/>
    </row>
    <row r="5493" spans="1:1" x14ac:dyDescent="0.25">
      <c r="A5493" s="7"/>
    </row>
    <row r="5494" spans="1:1" x14ac:dyDescent="0.25">
      <c r="A5494" s="7"/>
    </row>
    <row r="5495" spans="1:1" x14ac:dyDescent="0.25">
      <c r="A5495" s="7"/>
    </row>
    <row r="5496" spans="1:1" x14ac:dyDescent="0.25">
      <c r="A5496" s="7"/>
    </row>
    <row r="5497" spans="1:1" x14ac:dyDescent="0.25">
      <c r="A5497" s="7"/>
    </row>
    <row r="5498" spans="1:1" x14ac:dyDescent="0.25">
      <c r="A5498" s="7"/>
    </row>
    <row r="5499" spans="1:1" x14ac:dyDescent="0.25">
      <c r="A5499" s="7"/>
    </row>
    <row r="5500" spans="1:1" x14ac:dyDescent="0.25">
      <c r="A5500" s="7"/>
    </row>
    <row r="5501" spans="1:1" x14ac:dyDescent="0.25">
      <c r="A5501" s="7"/>
    </row>
    <row r="5502" spans="1:1" x14ac:dyDescent="0.25">
      <c r="A5502" s="7"/>
    </row>
    <row r="5503" spans="1:1" x14ac:dyDescent="0.25">
      <c r="A5503" s="7"/>
    </row>
    <row r="5504" spans="1:1" x14ac:dyDescent="0.25">
      <c r="A5504" s="7"/>
    </row>
    <row r="5505" spans="1:1" x14ac:dyDescent="0.25">
      <c r="A5505" s="7"/>
    </row>
    <row r="5506" spans="1:1" x14ac:dyDescent="0.25">
      <c r="A5506" s="7"/>
    </row>
    <row r="5507" spans="1:1" x14ac:dyDescent="0.25">
      <c r="A5507" s="7"/>
    </row>
    <row r="5508" spans="1:1" x14ac:dyDescent="0.25">
      <c r="A5508" s="7"/>
    </row>
    <row r="5509" spans="1:1" x14ac:dyDescent="0.25">
      <c r="A5509" s="7"/>
    </row>
    <row r="5510" spans="1:1" x14ac:dyDescent="0.25">
      <c r="A5510" s="7"/>
    </row>
    <row r="5511" spans="1:1" x14ac:dyDescent="0.25">
      <c r="A5511" s="7"/>
    </row>
    <row r="5512" spans="1:1" x14ac:dyDescent="0.25">
      <c r="A5512" s="7"/>
    </row>
    <row r="5513" spans="1:1" x14ac:dyDescent="0.25">
      <c r="A5513" s="7"/>
    </row>
    <row r="5514" spans="1:1" x14ac:dyDescent="0.25">
      <c r="A5514" s="7"/>
    </row>
    <row r="5515" spans="1:1" x14ac:dyDescent="0.25">
      <c r="A5515" s="7"/>
    </row>
    <row r="5516" spans="1:1" x14ac:dyDescent="0.25">
      <c r="A5516" s="7"/>
    </row>
    <row r="5517" spans="1:1" x14ac:dyDescent="0.25">
      <c r="A5517" s="7"/>
    </row>
    <row r="5518" spans="1:1" x14ac:dyDescent="0.25">
      <c r="A5518" s="7"/>
    </row>
    <row r="5519" spans="1:1" x14ac:dyDescent="0.25">
      <c r="A5519" s="7"/>
    </row>
    <row r="5520" spans="1:1" x14ac:dyDescent="0.25">
      <c r="A5520" s="7"/>
    </row>
    <row r="5521" spans="1:1" x14ac:dyDescent="0.25">
      <c r="A5521" s="7"/>
    </row>
    <row r="5522" spans="1:1" x14ac:dyDescent="0.25">
      <c r="A5522" s="7"/>
    </row>
    <row r="5523" spans="1:1" x14ac:dyDescent="0.25">
      <c r="A5523" s="7"/>
    </row>
    <row r="5524" spans="1:1" x14ac:dyDescent="0.25">
      <c r="A5524" s="7"/>
    </row>
    <row r="5525" spans="1:1" x14ac:dyDescent="0.25">
      <c r="A5525" s="7"/>
    </row>
    <row r="5526" spans="1:1" x14ac:dyDescent="0.25">
      <c r="A5526" s="7"/>
    </row>
    <row r="5527" spans="1:1" x14ac:dyDescent="0.25">
      <c r="A5527" s="7"/>
    </row>
    <row r="5528" spans="1:1" x14ac:dyDescent="0.25">
      <c r="A5528" s="7"/>
    </row>
    <row r="5529" spans="1:1" x14ac:dyDescent="0.25">
      <c r="A5529" s="7"/>
    </row>
    <row r="5530" spans="1:1" x14ac:dyDescent="0.25">
      <c r="A5530" s="7"/>
    </row>
    <row r="5531" spans="1:1" x14ac:dyDescent="0.25">
      <c r="A5531" s="7"/>
    </row>
    <row r="5532" spans="1:1" x14ac:dyDescent="0.25">
      <c r="A5532" s="7"/>
    </row>
    <row r="5533" spans="1:1" x14ac:dyDescent="0.25">
      <c r="A5533" s="7"/>
    </row>
    <row r="5534" spans="1:1" x14ac:dyDescent="0.25">
      <c r="A5534" s="7"/>
    </row>
    <row r="5535" spans="1:1" x14ac:dyDescent="0.25">
      <c r="A5535" s="7"/>
    </row>
    <row r="5536" spans="1:1" x14ac:dyDescent="0.25">
      <c r="A5536" s="7"/>
    </row>
    <row r="5537" spans="1:1" x14ac:dyDescent="0.25">
      <c r="A5537" s="7"/>
    </row>
    <row r="5538" spans="1:1" x14ac:dyDescent="0.25">
      <c r="A5538" s="7"/>
    </row>
    <row r="5539" spans="1:1" x14ac:dyDescent="0.25">
      <c r="A5539" s="7"/>
    </row>
    <row r="5540" spans="1:1" x14ac:dyDescent="0.25">
      <c r="A5540" s="7"/>
    </row>
    <row r="5541" spans="1:1" x14ac:dyDescent="0.25">
      <c r="A5541" s="7"/>
    </row>
    <row r="5542" spans="1:1" x14ac:dyDescent="0.25">
      <c r="A5542" s="7"/>
    </row>
    <row r="5543" spans="1:1" x14ac:dyDescent="0.25">
      <c r="A5543" s="7"/>
    </row>
    <row r="5544" spans="1:1" x14ac:dyDescent="0.25">
      <c r="A5544" s="7"/>
    </row>
    <row r="5545" spans="1:1" x14ac:dyDescent="0.25">
      <c r="A5545" s="7"/>
    </row>
    <row r="5546" spans="1:1" x14ac:dyDescent="0.25">
      <c r="A5546" s="7"/>
    </row>
    <row r="5547" spans="1:1" x14ac:dyDescent="0.25">
      <c r="A5547" s="7"/>
    </row>
    <row r="5548" spans="1:1" x14ac:dyDescent="0.25">
      <c r="A5548" s="7"/>
    </row>
    <row r="5549" spans="1:1" x14ac:dyDescent="0.25">
      <c r="A5549" s="7"/>
    </row>
    <row r="5550" spans="1:1" x14ac:dyDescent="0.25">
      <c r="A5550" s="7"/>
    </row>
    <row r="5551" spans="1:1" x14ac:dyDescent="0.25">
      <c r="A5551" s="7"/>
    </row>
    <row r="5552" spans="1:1" x14ac:dyDescent="0.25">
      <c r="A5552" s="7"/>
    </row>
    <row r="5553" spans="1:1" x14ac:dyDescent="0.25">
      <c r="A5553" s="7"/>
    </row>
    <row r="5554" spans="1:1" x14ac:dyDescent="0.25">
      <c r="A5554" s="7"/>
    </row>
    <row r="5555" spans="1:1" x14ac:dyDescent="0.25">
      <c r="A5555" s="7"/>
    </row>
    <row r="5556" spans="1:1" x14ac:dyDescent="0.25">
      <c r="A5556" s="7"/>
    </row>
    <row r="5557" spans="1:1" x14ac:dyDescent="0.25">
      <c r="A5557" s="7"/>
    </row>
    <row r="5558" spans="1:1" x14ac:dyDescent="0.25">
      <c r="A5558" s="7"/>
    </row>
    <row r="5559" spans="1:1" x14ac:dyDescent="0.25">
      <c r="A5559" s="7"/>
    </row>
    <row r="5560" spans="1:1" x14ac:dyDescent="0.25">
      <c r="A5560" s="7"/>
    </row>
    <row r="5561" spans="1:1" x14ac:dyDescent="0.25">
      <c r="A5561" s="7"/>
    </row>
    <row r="5562" spans="1:1" x14ac:dyDescent="0.25">
      <c r="A5562" s="7"/>
    </row>
    <row r="5563" spans="1:1" x14ac:dyDescent="0.25">
      <c r="A5563" s="7"/>
    </row>
    <row r="5564" spans="1:1" x14ac:dyDescent="0.25">
      <c r="A5564" s="7"/>
    </row>
    <row r="5565" spans="1:1" x14ac:dyDescent="0.25">
      <c r="A5565" s="7"/>
    </row>
    <row r="5566" spans="1:1" x14ac:dyDescent="0.25">
      <c r="A5566" s="7"/>
    </row>
    <row r="5567" spans="1:1" x14ac:dyDescent="0.25">
      <c r="A5567" s="7"/>
    </row>
    <row r="5568" spans="1:1" x14ac:dyDescent="0.25">
      <c r="A5568" s="7"/>
    </row>
    <row r="5569" spans="1:1" x14ac:dyDescent="0.25">
      <c r="A5569" s="7"/>
    </row>
    <row r="5570" spans="1:1" x14ac:dyDescent="0.25">
      <c r="A5570" s="7"/>
    </row>
    <row r="5571" spans="1:1" x14ac:dyDescent="0.25">
      <c r="A5571" s="7"/>
    </row>
    <row r="5572" spans="1:1" x14ac:dyDescent="0.25">
      <c r="A5572" s="7"/>
    </row>
    <row r="5573" spans="1:1" x14ac:dyDescent="0.25">
      <c r="A5573" s="7"/>
    </row>
    <row r="5574" spans="1:1" x14ac:dyDescent="0.25">
      <c r="A5574" s="7"/>
    </row>
    <row r="5575" spans="1:1" x14ac:dyDescent="0.25">
      <c r="A5575" s="7"/>
    </row>
    <row r="5576" spans="1:1" x14ac:dyDescent="0.25">
      <c r="A5576" s="7"/>
    </row>
    <row r="5577" spans="1:1" x14ac:dyDescent="0.25">
      <c r="A5577" s="7"/>
    </row>
    <row r="5578" spans="1:1" x14ac:dyDescent="0.25">
      <c r="A5578" s="7"/>
    </row>
    <row r="5579" spans="1:1" x14ac:dyDescent="0.25">
      <c r="A5579" s="7"/>
    </row>
    <row r="5580" spans="1:1" x14ac:dyDescent="0.25">
      <c r="A5580" s="7"/>
    </row>
    <row r="5581" spans="1:1" x14ac:dyDescent="0.25">
      <c r="A5581" s="7"/>
    </row>
    <row r="5582" spans="1:1" x14ac:dyDescent="0.25">
      <c r="A5582" s="7"/>
    </row>
    <row r="5583" spans="1:1" x14ac:dyDescent="0.25">
      <c r="A5583" s="7"/>
    </row>
    <row r="5584" spans="1:1" x14ac:dyDescent="0.25">
      <c r="A5584" s="7"/>
    </row>
    <row r="5585" spans="1:1" x14ac:dyDescent="0.25">
      <c r="A5585" s="7"/>
    </row>
    <row r="5586" spans="1:1" x14ac:dyDescent="0.25">
      <c r="A5586" s="7"/>
    </row>
    <row r="5587" spans="1:1" x14ac:dyDescent="0.25">
      <c r="A5587" s="7"/>
    </row>
    <row r="5588" spans="1:1" x14ac:dyDescent="0.25">
      <c r="A5588" s="7"/>
    </row>
    <row r="5589" spans="1:1" x14ac:dyDescent="0.25">
      <c r="A5589" s="7"/>
    </row>
    <row r="5590" spans="1:1" x14ac:dyDescent="0.25">
      <c r="A5590" s="7"/>
    </row>
    <row r="5591" spans="1:1" x14ac:dyDescent="0.25">
      <c r="A5591" s="7"/>
    </row>
    <row r="5592" spans="1:1" x14ac:dyDescent="0.25">
      <c r="A5592" s="7"/>
    </row>
    <row r="5593" spans="1:1" x14ac:dyDescent="0.25">
      <c r="A5593" s="7"/>
    </row>
    <row r="5594" spans="1:1" x14ac:dyDescent="0.25">
      <c r="A5594" s="7"/>
    </row>
    <row r="5595" spans="1:1" x14ac:dyDescent="0.25">
      <c r="A5595" s="7"/>
    </row>
    <row r="5596" spans="1:1" x14ac:dyDescent="0.25">
      <c r="A5596" s="7"/>
    </row>
    <row r="5597" spans="1:1" x14ac:dyDescent="0.25">
      <c r="A5597" s="7"/>
    </row>
    <row r="5598" spans="1:1" x14ac:dyDescent="0.25">
      <c r="A5598" s="7"/>
    </row>
    <row r="5599" spans="1:1" x14ac:dyDescent="0.25">
      <c r="A5599" s="7"/>
    </row>
    <row r="5600" spans="1:1" x14ac:dyDescent="0.25">
      <c r="A5600" s="7"/>
    </row>
    <row r="5601" spans="1:1" x14ac:dyDescent="0.25">
      <c r="A5601" s="7"/>
    </row>
    <row r="5602" spans="1:1" x14ac:dyDescent="0.25">
      <c r="A5602" s="7"/>
    </row>
    <row r="5603" spans="1:1" x14ac:dyDescent="0.25">
      <c r="A5603" s="7"/>
    </row>
    <row r="5604" spans="1:1" x14ac:dyDescent="0.25">
      <c r="A5604" s="7"/>
    </row>
    <row r="5605" spans="1:1" x14ac:dyDescent="0.25">
      <c r="A5605" s="7"/>
    </row>
    <row r="5606" spans="1:1" x14ac:dyDescent="0.25">
      <c r="A5606" s="7"/>
    </row>
    <row r="5607" spans="1:1" x14ac:dyDescent="0.25">
      <c r="A5607" s="7"/>
    </row>
    <row r="5608" spans="1:1" x14ac:dyDescent="0.25">
      <c r="A5608" s="7"/>
    </row>
    <row r="5609" spans="1:1" x14ac:dyDescent="0.25">
      <c r="A5609" s="7"/>
    </row>
    <row r="5610" spans="1:1" x14ac:dyDescent="0.25">
      <c r="A5610" s="7"/>
    </row>
    <row r="5611" spans="1:1" x14ac:dyDescent="0.25">
      <c r="A5611" s="7"/>
    </row>
    <row r="5612" spans="1:1" x14ac:dyDescent="0.25">
      <c r="A5612" s="7"/>
    </row>
    <row r="5613" spans="1:1" x14ac:dyDescent="0.25">
      <c r="A5613" s="7"/>
    </row>
    <row r="5614" spans="1:1" x14ac:dyDescent="0.25">
      <c r="A5614" s="7"/>
    </row>
    <row r="5615" spans="1:1" x14ac:dyDescent="0.25">
      <c r="A5615" s="7"/>
    </row>
    <row r="5616" spans="1:1" x14ac:dyDescent="0.25">
      <c r="A5616" s="7"/>
    </row>
    <row r="5617" spans="1:1" x14ac:dyDescent="0.25">
      <c r="A5617" s="7"/>
    </row>
    <row r="5618" spans="1:1" x14ac:dyDescent="0.25">
      <c r="A5618" s="7"/>
    </row>
    <row r="5619" spans="1:1" x14ac:dyDescent="0.25">
      <c r="A5619" s="7"/>
    </row>
    <row r="5620" spans="1:1" x14ac:dyDescent="0.25">
      <c r="A5620" s="7"/>
    </row>
    <row r="5621" spans="1:1" x14ac:dyDescent="0.25">
      <c r="A5621" s="7"/>
    </row>
    <row r="5622" spans="1:1" x14ac:dyDescent="0.25">
      <c r="A5622" s="7"/>
    </row>
    <row r="5623" spans="1:1" x14ac:dyDescent="0.25">
      <c r="A5623" s="7"/>
    </row>
    <row r="5624" spans="1:1" x14ac:dyDescent="0.25">
      <c r="A5624" s="7"/>
    </row>
    <row r="5625" spans="1:1" x14ac:dyDescent="0.25">
      <c r="A5625" s="7"/>
    </row>
    <row r="5626" spans="1:1" x14ac:dyDescent="0.25">
      <c r="A5626" s="7"/>
    </row>
    <row r="5627" spans="1:1" x14ac:dyDescent="0.25">
      <c r="A5627" s="7"/>
    </row>
    <row r="5628" spans="1:1" x14ac:dyDescent="0.25">
      <c r="A5628" s="7"/>
    </row>
    <row r="5629" spans="1:1" x14ac:dyDescent="0.25">
      <c r="A5629" s="7"/>
    </row>
    <row r="5630" spans="1:1" x14ac:dyDescent="0.25">
      <c r="A5630" s="7"/>
    </row>
    <row r="5631" spans="1:1" x14ac:dyDescent="0.25">
      <c r="A5631" s="7"/>
    </row>
    <row r="5632" spans="1:1" x14ac:dyDescent="0.25">
      <c r="A5632" s="7"/>
    </row>
    <row r="5633" spans="1:1" x14ac:dyDescent="0.25">
      <c r="A5633" s="7"/>
    </row>
    <row r="5634" spans="1:1" x14ac:dyDescent="0.25">
      <c r="A5634" s="7"/>
    </row>
    <row r="5635" spans="1:1" x14ac:dyDescent="0.25">
      <c r="A5635" s="7"/>
    </row>
    <row r="5636" spans="1:1" x14ac:dyDescent="0.25">
      <c r="A5636" s="7"/>
    </row>
    <row r="5637" spans="1:1" x14ac:dyDescent="0.25">
      <c r="A5637" s="7"/>
    </row>
    <row r="5638" spans="1:1" x14ac:dyDescent="0.25">
      <c r="A5638" s="7"/>
    </row>
    <row r="5639" spans="1:1" x14ac:dyDescent="0.25">
      <c r="A5639" s="7"/>
    </row>
    <row r="5640" spans="1:1" x14ac:dyDescent="0.25">
      <c r="A5640" s="7"/>
    </row>
    <row r="5641" spans="1:1" x14ac:dyDescent="0.25">
      <c r="A5641" s="7"/>
    </row>
    <row r="5642" spans="1:1" x14ac:dyDescent="0.25">
      <c r="A5642" s="7"/>
    </row>
    <row r="5643" spans="1:1" x14ac:dyDescent="0.25">
      <c r="A5643" s="7"/>
    </row>
    <row r="5644" spans="1:1" x14ac:dyDescent="0.25">
      <c r="A5644" s="7"/>
    </row>
    <row r="5645" spans="1:1" x14ac:dyDescent="0.25">
      <c r="A5645" s="7"/>
    </row>
    <row r="5646" spans="1:1" x14ac:dyDescent="0.25">
      <c r="A5646" s="7"/>
    </row>
    <row r="5647" spans="1:1" x14ac:dyDescent="0.25">
      <c r="A5647" s="7"/>
    </row>
    <row r="5648" spans="1:1" x14ac:dyDescent="0.25">
      <c r="A5648" s="7"/>
    </row>
    <row r="5649" spans="1:1" x14ac:dyDescent="0.25">
      <c r="A5649" s="7"/>
    </row>
    <row r="5650" spans="1:1" x14ac:dyDescent="0.25">
      <c r="A5650" s="7"/>
    </row>
    <row r="5651" spans="1:1" x14ac:dyDescent="0.25">
      <c r="A5651" s="7"/>
    </row>
    <row r="5652" spans="1:1" x14ac:dyDescent="0.25">
      <c r="A5652" s="7"/>
    </row>
    <row r="5653" spans="1:1" x14ac:dyDescent="0.25">
      <c r="A5653" s="7"/>
    </row>
    <row r="5654" spans="1:1" x14ac:dyDescent="0.25">
      <c r="A5654" s="7"/>
    </row>
    <row r="5655" spans="1:1" x14ac:dyDescent="0.25">
      <c r="A5655" s="7"/>
    </row>
    <row r="5656" spans="1:1" x14ac:dyDescent="0.25">
      <c r="A5656" s="7"/>
    </row>
    <row r="5657" spans="1:1" x14ac:dyDescent="0.25">
      <c r="A5657" s="7"/>
    </row>
    <row r="5658" spans="1:1" x14ac:dyDescent="0.25">
      <c r="A5658" s="7"/>
    </row>
    <row r="5659" spans="1:1" x14ac:dyDescent="0.25">
      <c r="A5659" s="7"/>
    </row>
    <row r="5660" spans="1:1" x14ac:dyDescent="0.25">
      <c r="A5660" s="7"/>
    </row>
    <row r="5661" spans="1:1" x14ac:dyDescent="0.25">
      <c r="A5661" s="7"/>
    </row>
    <row r="5662" spans="1:1" x14ac:dyDescent="0.25">
      <c r="A5662" s="7"/>
    </row>
    <row r="5663" spans="1:1" x14ac:dyDescent="0.25">
      <c r="A5663" s="7"/>
    </row>
    <row r="5664" spans="1:1" x14ac:dyDescent="0.25">
      <c r="A5664" s="7"/>
    </row>
    <row r="5665" spans="1:1" x14ac:dyDescent="0.25">
      <c r="A5665" s="7"/>
    </row>
    <row r="5666" spans="1:1" x14ac:dyDescent="0.25">
      <c r="A5666" s="7"/>
    </row>
    <row r="5667" spans="1:1" x14ac:dyDescent="0.25">
      <c r="A5667" s="7"/>
    </row>
    <row r="5668" spans="1:1" x14ac:dyDescent="0.25">
      <c r="A5668" s="7"/>
    </row>
    <row r="5669" spans="1:1" x14ac:dyDescent="0.25">
      <c r="A5669" s="7"/>
    </row>
    <row r="5670" spans="1:1" x14ac:dyDescent="0.25">
      <c r="A5670" s="7"/>
    </row>
    <row r="5671" spans="1:1" x14ac:dyDescent="0.25">
      <c r="A5671" s="7"/>
    </row>
    <row r="5672" spans="1:1" x14ac:dyDescent="0.25">
      <c r="A5672" s="7"/>
    </row>
    <row r="5673" spans="1:1" x14ac:dyDescent="0.25">
      <c r="A5673" s="7"/>
    </row>
    <row r="5674" spans="1:1" x14ac:dyDescent="0.25">
      <c r="A5674" s="7"/>
    </row>
    <row r="5675" spans="1:1" x14ac:dyDescent="0.25">
      <c r="A5675" s="7"/>
    </row>
    <row r="5676" spans="1:1" x14ac:dyDescent="0.25">
      <c r="A5676" s="7"/>
    </row>
    <row r="5677" spans="1:1" x14ac:dyDescent="0.25">
      <c r="A5677" s="7"/>
    </row>
    <row r="5678" spans="1:1" x14ac:dyDescent="0.25">
      <c r="A5678" s="7"/>
    </row>
    <row r="5679" spans="1:1" x14ac:dyDescent="0.25">
      <c r="A5679" s="7"/>
    </row>
    <row r="5680" spans="1:1" x14ac:dyDescent="0.25">
      <c r="A5680" s="7"/>
    </row>
    <row r="5681" spans="1:1" x14ac:dyDescent="0.25">
      <c r="A5681" s="7"/>
    </row>
    <row r="5682" spans="1:1" x14ac:dyDescent="0.25">
      <c r="A5682" s="7"/>
    </row>
    <row r="5683" spans="1:1" x14ac:dyDescent="0.25">
      <c r="A5683" s="7"/>
    </row>
    <row r="5684" spans="1:1" x14ac:dyDescent="0.25">
      <c r="A5684" s="7"/>
    </row>
    <row r="5685" spans="1:1" x14ac:dyDescent="0.25">
      <c r="A5685" s="7"/>
    </row>
    <row r="5686" spans="1:1" x14ac:dyDescent="0.25">
      <c r="A5686" s="7"/>
    </row>
    <row r="5687" spans="1:1" x14ac:dyDescent="0.25">
      <c r="A5687" s="7"/>
    </row>
    <row r="5688" spans="1:1" x14ac:dyDescent="0.25">
      <c r="A5688" s="7"/>
    </row>
    <row r="5689" spans="1:1" x14ac:dyDescent="0.25">
      <c r="A5689" s="7"/>
    </row>
    <row r="5690" spans="1:1" x14ac:dyDescent="0.25">
      <c r="A5690" s="7"/>
    </row>
    <row r="5691" spans="1:1" x14ac:dyDescent="0.25">
      <c r="A5691" s="7"/>
    </row>
    <row r="5692" spans="1:1" x14ac:dyDescent="0.25">
      <c r="A5692" s="7"/>
    </row>
    <row r="5693" spans="1:1" x14ac:dyDescent="0.25">
      <c r="A5693" s="7"/>
    </row>
    <row r="5694" spans="1:1" x14ac:dyDescent="0.25">
      <c r="A5694" s="7"/>
    </row>
    <row r="5695" spans="1:1" x14ac:dyDescent="0.25">
      <c r="A5695" s="7"/>
    </row>
    <row r="5696" spans="1:1" x14ac:dyDescent="0.25">
      <c r="A5696" s="7"/>
    </row>
    <row r="5697" spans="1:1" x14ac:dyDescent="0.25">
      <c r="A5697" s="7"/>
    </row>
    <row r="5698" spans="1:1" x14ac:dyDescent="0.25">
      <c r="A5698" s="7"/>
    </row>
    <row r="5699" spans="1:1" x14ac:dyDescent="0.25">
      <c r="A5699" s="7"/>
    </row>
    <row r="5700" spans="1:1" x14ac:dyDescent="0.25">
      <c r="A5700" s="7"/>
    </row>
    <row r="5701" spans="1:1" x14ac:dyDescent="0.25">
      <c r="A5701" s="7"/>
    </row>
    <row r="5702" spans="1:1" x14ac:dyDescent="0.25">
      <c r="A5702" s="7"/>
    </row>
    <row r="5703" spans="1:1" x14ac:dyDescent="0.25">
      <c r="A5703" s="7"/>
    </row>
    <row r="5704" spans="1:1" x14ac:dyDescent="0.25">
      <c r="A5704" s="7"/>
    </row>
    <row r="5705" spans="1:1" x14ac:dyDescent="0.25">
      <c r="A5705" s="7"/>
    </row>
    <row r="5706" spans="1:1" x14ac:dyDescent="0.25">
      <c r="A5706" s="7"/>
    </row>
    <row r="5707" spans="1:1" x14ac:dyDescent="0.25">
      <c r="A5707" s="7"/>
    </row>
    <row r="5708" spans="1:1" x14ac:dyDescent="0.25">
      <c r="A5708" s="7"/>
    </row>
    <row r="5709" spans="1:1" x14ac:dyDescent="0.25">
      <c r="A5709" s="7"/>
    </row>
    <row r="5710" spans="1:1" x14ac:dyDescent="0.25">
      <c r="A5710" s="7"/>
    </row>
    <row r="5711" spans="1:1" x14ac:dyDescent="0.25">
      <c r="A5711" s="7"/>
    </row>
    <row r="5712" spans="1:1" x14ac:dyDescent="0.25">
      <c r="A5712" s="7"/>
    </row>
    <row r="5713" spans="1:1" x14ac:dyDescent="0.25">
      <c r="A5713" s="7"/>
    </row>
    <row r="5714" spans="1:1" x14ac:dyDescent="0.25">
      <c r="A5714" s="7"/>
    </row>
    <row r="5715" spans="1:1" x14ac:dyDescent="0.25">
      <c r="A5715" s="7"/>
    </row>
    <row r="5716" spans="1:1" x14ac:dyDescent="0.25">
      <c r="A5716" s="7"/>
    </row>
    <row r="5717" spans="1:1" x14ac:dyDescent="0.25">
      <c r="A5717" s="7"/>
    </row>
    <row r="5718" spans="1:1" x14ac:dyDescent="0.25">
      <c r="A5718" s="7"/>
    </row>
    <row r="5719" spans="1:1" x14ac:dyDescent="0.25">
      <c r="A5719" s="7"/>
    </row>
    <row r="5720" spans="1:1" x14ac:dyDescent="0.25">
      <c r="A5720" s="7"/>
    </row>
    <row r="5721" spans="1:1" x14ac:dyDescent="0.25">
      <c r="A5721" s="7"/>
    </row>
    <row r="5722" spans="1:1" x14ac:dyDescent="0.25">
      <c r="A5722" s="7"/>
    </row>
    <row r="5723" spans="1:1" x14ac:dyDescent="0.25">
      <c r="A5723" s="7"/>
    </row>
    <row r="5724" spans="1:1" x14ac:dyDescent="0.25">
      <c r="A5724" s="7"/>
    </row>
    <row r="5725" spans="1:1" x14ac:dyDescent="0.25">
      <c r="A5725" s="7"/>
    </row>
    <row r="5726" spans="1:1" x14ac:dyDescent="0.25">
      <c r="A5726" s="7"/>
    </row>
    <row r="5727" spans="1:1" x14ac:dyDescent="0.25">
      <c r="A5727" s="7"/>
    </row>
    <row r="5728" spans="1:1" x14ac:dyDescent="0.25">
      <c r="A5728" s="7"/>
    </row>
    <row r="5729" spans="1:1" x14ac:dyDescent="0.25">
      <c r="A5729" s="7"/>
    </row>
    <row r="5730" spans="1:1" x14ac:dyDescent="0.25">
      <c r="A5730" s="7"/>
    </row>
    <row r="5731" spans="1:1" x14ac:dyDescent="0.25">
      <c r="A5731" s="7"/>
    </row>
    <row r="5732" spans="1:1" x14ac:dyDescent="0.25">
      <c r="A5732" s="7"/>
    </row>
    <row r="5733" spans="1:1" x14ac:dyDescent="0.25">
      <c r="A5733" s="7"/>
    </row>
    <row r="5734" spans="1:1" x14ac:dyDescent="0.25">
      <c r="A5734" s="7"/>
    </row>
    <row r="5735" spans="1:1" x14ac:dyDescent="0.25">
      <c r="A5735" s="7"/>
    </row>
    <row r="5736" spans="1:1" x14ac:dyDescent="0.25">
      <c r="A5736" s="7"/>
    </row>
    <row r="5737" spans="1:1" x14ac:dyDescent="0.25">
      <c r="A5737" s="7"/>
    </row>
    <row r="5738" spans="1:1" x14ac:dyDescent="0.25">
      <c r="A5738" s="7"/>
    </row>
    <row r="5739" spans="1:1" x14ac:dyDescent="0.25">
      <c r="A5739" s="7"/>
    </row>
    <row r="5740" spans="1:1" x14ac:dyDescent="0.25">
      <c r="A5740" s="7"/>
    </row>
    <row r="5741" spans="1:1" x14ac:dyDescent="0.25">
      <c r="A5741" s="7"/>
    </row>
    <row r="5742" spans="1:1" x14ac:dyDescent="0.25">
      <c r="A5742" s="7"/>
    </row>
    <row r="5743" spans="1:1" x14ac:dyDescent="0.25">
      <c r="A5743" s="7"/>
    </row>
    <row r="5744" spans="1:1" x14ac:dyDescent="0.25">
      <c r="A5744" s="7"/>
    </row>
    <row r="5745" spans="1:1" x14ac:dyDescent="0.25">
      <c r="A5745" s="7"/>
    </row>
    <row r="5746" spans="1:1" x14ac:dyDescent="0.25">
      <c r="A5746" s="7"/>
    </row>
    <row r="5747" spans="1:1" x14ac:dyDescent="0.25">
      <c r="A5747" s="7"/>
    </row>
    <row r="5748" spans="1:1" x14ac:dyDescent="0.25">
      <c r="A5748" s="7"/>
    </row>
    <row r="5749" spans="1:1" x14ac:dyDescent="0.25">
      <c r="A5749" s="7"/>
    </row>
    <row r="5750" spans="1:1" x14ac:dyDescent="0.25">
      <c r="A5750" s="7"/>
    </row>
    <row r="5751" spans="1:1" x14ac:dyDescent="0.25">
      <c r="A5751" s="7"/>
    </row>
    <row r="5752" spans="1:1" x14ac:dyDescent="0.25">
      <c r="A5752" s="7"/>
    </row>
    <row r="5753" spans="1:1" x14ac:dyDescent="0.25">
      <c r="A5753" s="7"/>
    </row>
    <row r="5754" spans="1:1" x14ac:dyDescent="0.25">
      <c r="A5754" s="7"/>
    </row>
    <row r="5755" spans="1:1" x14ac:dyDescent="0.25">
      <c r="A5755" s="7"/>
    </row>
    <row r="5756" spans="1:1" x14ac:dyDescent="0.25">
      <c r="A5756" s="7"/>
    </row>
    <row r="5757" spans="1:1" x14ac:dyDescent="0.25">
      <c r="A5757" s="7"/>
    </row>
    <row r="5758" spans="1:1" x14ac:dyDescent="0.25">
      <c r="A5758" s="7"/>
    </row>
    <row r="5759" spans="1:1" x14ac:dyDescent="0.25">
      <c r="A5759" s="7"/>
    </row>
    <row r="5760" spans="1:1" x14ac:dyDescent="0.25">
      <c r="A5760" s="7"/>
    </row>
    <row r="5761" spans="1:1" x14ac:dyDescent="0.25">
      <c r="A5761" s="7"/>
    </row>
    <row r="5762" spans="1:1" x14ac:dyDescent="0.25">
      <c r="A5762" s="7"/>
    </row>
    <row r="5763" spans="1:1" x14ac:dyDescent="0.25">
      <c r="A5763" s="7"/>
    </row>
    <row r="5764" spans="1:1" x14ac:dyDescent="0.25">
      <c r="A5764" s="7"/>
    </row>
    <row r="5765" spans="1:1" x14ac:dyDescent="0.25">
      <c r="A5765" s="7"/>
    </row>
    <row r="5766" spans="1:1" x14ac:dyDescent="0.25">
      <c r="A5766" s="7"/>
    </row>
    <row r="5767" spans="1:1" x14ac:dyDescent="0.25">
      <c r="A5767" s="7"/>
    </row>
    <row r="5768" spans="1:1" x14ac:dyDescent="0.25">
      <c r="A5768" s="7"/>
    </row>
    <row r="5769" spans="1:1" x14ac:dyDescent="0.25">
      <c r="A5769" s="7"/>
    </row>
    <row r="5770" spans="1:1" x14ac:dyDescent="0.25">
      <c r="A5770" s="7"/>
    </row>
    <row r="5771" spans="1:1" x14ac:dyDescent="0.25">
      <c r="A5771" s="7"/>
    </row>
    <row r="5772" spans="1:1" x14ac:dyDescent="0.25">
      <c r="A5772" s="7"/>
    </row>
    <row r="5773" spans="1:1" x14ac:dyDescent="0.25">
      <c r="A5773" s="7"/>
    </row>
    <row r="5774" spans="1:1" x14ac:dyDescent="0.25">
      <c r="A5774" s="7"/>
    </row>
    <row r="5775" spans="1:1" x14ac:dyDescent="0.25">
      <c r="A5775" s="7"/>
    </row>
    <row r="5776" spans="1:1" x14ac:dyDescent="0.25">
      <c r="A5776" s="7"/>
    </row>
    <row r="5777" spans="1:1" x14ac:dyDescent="0.25">
      <c r="A5777" s="7"/>
    </row>
    <row r="5778" spans="1:1" x14ac:dyDescent="0.25">
      <c r="A5778" s="7"/>
    </row>
    <row r="5779" spans="1:1" x14ac:dyDescent="0.25">
      <c r="A5779" s="7"/>
    </row>
    <row r="5780" spans="1:1" x14ac:dyDescent="0.25">
      <c r="A5780" s="7"/>
    </row>
    <row r="5781" spans="1:1" x14ac:dyDescent="0.25">
      <c r="A5781" s="7"/>
    </row>
    <row r="5782" spans="1:1" x14ac:dyDescent="0.25">
      <c r="A5782" s="7"/>
    </row>
    <row r="5783" spans="1:1" x14ac:dyDescent="0.25">
      <c r="A5783" s="7"/>
    </row>
    <row r="5784" spans="1:1" x14ac:dyDescent="0.25">
      <c r="A5784" s="7"/>
    </row>
    <row r="5785" spans="1:1" x14ac:dyDescent="0.25">
      <c r="A5785" s="7"/>
    </row>
    <row r="5786" spans="1:1" x14ac:dyDescent="0.25">
      <c r="A5786" s="7"/>
    </row>
    <row r="5787" spans="1:1" x14ac:dyDescent="0.25">
      <c r="A5787" s="7"/>
    </row>
    <row r="5788" spans="1:1" x14ac:dyDescent="0.25">
      <c r="A5788" s="7"/>
    </row>
    <row r="5789" spans="1:1" x14ac:dyDescent="0.25">
      <c r="A5789" s="7"/>
    </row>
    <row r="5790" spans="1:1" x14ac:dyDescent="0.25">
      <c r="A5790" s="7"/>
    </row>
    <row r="5791" spans="1:1" x14ac:dyDescent="0.25">
      <c r="A5791" s="7"/>
    </row>
    <row r="5792" spans="1:1" x14ac:dyDescent="0.25">
      <c r="A5792" s="7"/>
    </row>
    <row r="5793" spans="1:1" x14ac:dyDescent="0.25">
      <c r="A5793" s="7"/>
    </row>
    <row r="5794" spans="1:1" x14ac:dyDescent="0.25">
      <c r="A5794" s="7"/>
    </row>
    <row r="5795" spans="1:1" x14ac:dyDescent="0.25">
      <c r="A5795" s="7"/>
    </row>
    <row r="5796" spans="1:1" x14ac:dyDescent="0.25">
      <c r="A5796" s="7"/>
    </row>
    <row r="5797" spans="1:1" x14ac:dyDescent="0.25">
      <c r="A5797" s="7"/>
    </row>
    <row r="5798" spans="1:1" x14ac:dyDescent="0.25">
      <c r="A5798" s="7"/>
    </row>
    <row r="5799" spans="1:1" x14ac:dyDescent="0.25">
      <c r="A5799" s="7"/>
    </row>
    <row r="5800" spans="1:1" x14ac:dyDescent="0.25">
      <c r="A5800" s="7"/>
    </row>
    <row r="5801" spans="1:1" x14ac:dyDescent="0.25">
      <c r="A5801" s="7"/>
    </row>
    <row r="5802" spans="1:1" x14ac:dyDescent="0.25">
      <c r="A5802" s="7"/>
    </row>
    <row r="5803" spans="1:1" x14ac:dyDescent="0.25">
      <c r="A5803" s="7"/>
    </row>
    <row r="5804" spans="1:1" x14ac:dyDescent="0.25">
      <c r="A5804" s="7"/>
    </row>
    <row r="5805" spans="1:1" x14ac:dyDescent="0.25">
      <c r="A5805" s="7"/>
    </row>
    <row r="5806" spans="1:1" x14ac:dyDescent="0.25">
      <c r="A5806" s="7"/>
    </row>
    <row r="5807" spans="1:1" x14ac:dyDescent="0.25">
      <c r="A5807" s="7"/>
    </row>
    <row r="5808" spans="1:1" x14ac:dyDescent="0.25">
      <c r="A5808" s="7"/>
    </row>
    <row r="5809" spans="1:1" x14ac:dyDescent="0.25">
      <c r="A5809" s="7"/>
    </row>
    <row r="5810" spans="1:1" x14ac:dyDescent="0.25">
      <c r="A5810" s="7"/>
    </row>
    <row r="5811" spans="1:1" x14ac:dyDescent="0.25">
      <c r="A5811" s="7"/>
    </row>
    <row r="5812" spans="1:1" x14ac:dyDescent="0.25">
      <c r="A5812" s="7"/>
    </row>
    <row r="5813" spans="1:1" x14ac:dyDescent="0.25">
      <c r="A5813" s="7"/>
    </row>
    <row r="5814" spans="1:1" x14ac:dyDescent="0.25">
      <c r="A5814" s="7"/>
    </row>
    <row r="5815" spans="1:1" x14ac:dyDescent="0.25">
      <c r="A5815" s="7"/>
    </row>
    <row r="5816" spans="1:1" x14ac:dyDescent="0.25">
      <c r="A5816" s="7"/>
    </row>
    <row r="5817" spans="1:1" x14ac:dyDescent="0.25">
      <c r="A5817" s="7"/>
    </row>
    <row r="5818" spans="1:1" x14ac:dyDescent="0.25">
      <c r="A5818" s="7"/>
    </row>
    <row r="5819" spans="1:1" x14ac:dyDescent="0.25">
      <c r="A5819" s="7"/>
    </row>
    <row r="5820" spans="1:1" x14ac:dyDescent="0.25">
      <c r="A5820" s="7"/>
    </row>
    <row r="5821" spans="1:1" x14ac:dyDescent="0.25">
      <c r="A5821" s="7"/>
    </row>
    <row r="5822" spans="1:1" x14ac:dyDescent="0.25">
      <c r="A5822" s="7"/>
    </row>
    <row r="5823" spans="1:1" x14ac:dyDescent="0.25">
      <c r="A5823" s="7"/>
    </row>
    <row r="5824" spans="1:1" x14ac:dyDescent="0.25">
      <c r="A5824" s="7"/>
    </row>
    <row r="5825" spans="1:1" x14ac:dyDescent="0.25">
      <c r="A5825" s="7"/>
    </row>
    <row r="5826" spans="1:1" x14ac:dyDescent="0.25">
      <c r="A5826" s="7"/>
    </row>
    <row r="5827" spans="1:1" x14ac:dyDescent="0.25">
      <c r="A5827" s="7"/>
    </row>
    <row r="5828" spans="1:1" x14ac:dyDescent="0.25">
      <c r="A5828" s="7"/>
    </row>
    <row r="5829" spans="1:1" x14ac:dyDescent="0.25">
      <c r="A5829" s="7"/>
    </row>
    <row r="5830" spans="1:1" x14ac:dyDescent="0.25">
      <c r="A5830" s="7"/>
    </row>
    <row r="5831" spans="1:1" x14ac:dyDescent="0.25">
      <c r="A5831" s="7"/>
    </row>
    <row r="5832" spans="1:1" x14ac:dyDescent="0.25">
      <c r="A5832" s="7"/>
    </row>
    <row r="5833" spans="1:1" x14ac:dyDescent="0.25">
      <c r="A5833" s="7"/>
    </row>
    <row r="5834" spans="1:1" x14ac:dyDescent="0.25">
      <c r="A5834" s="7"/>
    </row>
    <row r="5835" spans="1:1" x14ac:dyDescent="0.25">
      <c r="A5835" s="7"/>
    </row>
    <row r="5836" spans="1:1" x14ac:dyDescent="0.25">
      <c r="A5836" s="7"/>
    </row>
    <row r="5837" spans="1:1" x14ac:dyDescent="0.25">
      <c r="A5837" s="7"/>
    </row>
    <row r="5838" spans="1:1" x14ac:dyDescent="0.25">
      <c r="A5838" s="7"/>
    </row>
    <row r="5839" spans="1:1" x14ac:dyDescent="0.25">
      <c r="A5839" s="7"/>
    </row>
    <row r="5840" spans="1:1" x14ac:dyDescent="0.25">
      <c r="A5840" s="7"/>
    </row>
    <row r="5841" spans="1:1" x14ac:dyDescent="0.25">
      <c r="A5841" s="7"/>
    </row>
    <row r="5842" spans="1:1" x14ac:dyDescent="0.25">
      <c r="A5842" s="7"/>
    </row>
    <row r="5843" spans="1:1" x14ac:dyDescent="0.25">
      <c r="A5843" s="7"/>
    </row>
    <row r="5844" spans="1:1" x14ac:dyDescent="0.25">
      <c r="A5844" s="7"/>
    </row>
    <row r="5845" spans="1:1" x14ac:dyDescent="0.25">
      <c r="A5845" s="7"/>
    </row>
    <row r="5846" spans="1:1" x14ac:dyDescent="0.25">
      <c r="A5846" s="7"/>
    </row>
    <row r="5847" spans="1:1" x14ac:dyDescent="0.25">
      <c r="A5847" s="7"/>
    </row>
    <row r="5848" spans="1:1" x14ac:dyDescent="0.25">
      <c r="A5848" s="7"/>
    </row>
    <row r="5849" spans="1:1" x14ac:dyDescent="0.25">
      <c r="A5849" s="7"/>
    </row>
    <row r="5850" spans="1:1" x14ac:dyDescent="0.25">
      <c r="A5850" s="7"/>
    </row>
    <row r="5851" spans="1:1" x14ac:dyDescent="0.25">
      <c r="A5851" s="7"/>
    </row>
    <row r="5852" spans="1:1" x14ac:dyDescent="0.25">
      <c r="A5852" s="7"/>
    </row>
    <row r="5853" spans="1:1" x14ac:dyDescent="0.25">
      <c r="A5853" s="7"/>
    </row>
    <row r="5854" spans="1:1" x14ac:dyDescent="0.25">
      <c r="A5854" s="7"/>
    </row>
    <row r="5855" spans="1:1" x14ac:dyDescent="0.25">
      <c r="A5855" s="7"/>
    </row>
    <row r="5856" spans="1:1" x14ac:dyDescent="0.25">
      <c r="A5856" s="7"/>
    </row>
    <row r="5857" spans="1:1" x14ac:dyDescent="0.25">
      <c r="A5857" s="7"/>
    </row>
    <row r="5858" spans="1:1" x14ac:dyDescent="0.25">
      <c r="A5858" s="7"/>
    </row>
    <row r="5859" spans="1:1" x14ac:dyDescent="0.25">
      <c r="A5859" s="7"/>
    </row>
    <row r="5860" spans="1:1" x14ac:dyDescent="0.25">
      <c r="A5860" s="7"/>
    </row>
    <row r="5861" spans="1:1" x14ac:dyDescent="0.25">
      <c r="A5861" s="7"/>
    </row>
    <row r="5862" spans="1:1" x14ac:dyDescent="0.25">
      <c r="A5862" s="7"/>
    </row>
    <row r="5863" spans="1:1" x14ac:dyDescent="0.25">
      <c r="A5863" s="7"/>
    </row>
    <row r="5864" spans="1:1" x14ac:dyDescent="0.25">
      <c r="A5864" s="7"/>
    </row>
    <row r="5865" spans="1:1" x14ac:dyDescent="0.25">
      <c r="A5865" s="7"/>
    </row>
    <row r="5866" spans="1:1" x14ac:dyDescent="0.25">
      <c r="A5866" s="7"/>
    </row>
    <row r="5867" spans="1:1" x14ac:dyDescent="0.25">
      <c r="A5867" s="7"/>
    </row>
    <row r="5868" spans="1:1" x14ac:dyDescent="0.25">
      <c r="A5868" s="7"/>
    </row>
    <row r="5869" spans="1:1" x14ac:dyDescent="0.25">
      <c r="A5869" s="7"/>
    </row>
    <row r="5870" spans="1:1" x14ac:dyDescent="0.25">
      <c r="A5870" s="7"/>
    </row>
    <row r="5871" spans="1:1" x14ac:dyDescent="0.25">
      <c r="A5871" s="7"/>
    </row>
    <row r="5872" spans="1:1" x14ac:dyDescent="0.25">
      <c r="A5872" s="7"/>
    </row>
    <row r="5873" spans="1:1" x14ac:dyDescent="0.25">
      <c r="A5873" s="7"/>
    </row>
    <row r="5874" spans="1:1" x14ac:dyDescent="0.25">
      <c r="A5874" s="7"/>
    </row>
    <row r="5875" spans="1:1" x14ac:dyDescent="0.25">
      <c r="A5875" s="7"/>
    </row>
    <row r="5876" spans="1:1" x14ac:dyDescent="0.25">
      <c r="A5876" s="7"/>
    </row>
    <row r="5877" spans="1:1" x14ac:dyDescent="0.25">
      <c r="A5877" s="7"/>
    </row>
    <row r="5878" spans="1:1" x14ac:dyDescent="0.25">
      <c r="A5878" s="7"/>
    </row>
    <row r="5879" spans="1:1" x14ac:dyDescent="0.25">
      <c r="A5879" s="7"/>
    </row>
    <row r="5880" spans="1:1" x14ac:dyDescent="0.25">
      <c r="A5880" s="7"/>
    </row>
    <row r="5881" spans="1:1" x14ac:dyDescent="0.25">
      <c r="A5881" s="7"/>
    </row>
    <row r="5882" spans="1:1" x14ac:dyDescent="0.25">
      <c r="A5882" s="7"/>
    </row>
    <row r="5883" spans="1:1" x14ac:dyDescent="0.25">
      <c r="A5883" s="7"/>
    </row>
    <row r="5884" spans="1:1" x14ac:dyDescent="0.25">
      <c r="A5884" s="7"/>
    </row>
    <row r="5885" spans="1:1" x14ac:dyDescent="0.25">
      <c r="A5885" s="7"/>
    </row>
    <row r="5886" spans="1:1" x14ac:dyDescent="0.25">
      <c r="A5886" s="7"/>
    </row>
    <row r="5887" spans="1:1" x14ac:dyDescent="0.25">
      <c r="A5887" s="7"/>
    </row>
    <row r="5888" spans="1:1" x14ac:dyDescent="0.25">
      <c r="A5888" s="7"/>
    </row>
    <row r="5889" spans="1:1" x14ac:dyDescent="0.25">
      <c r="A5889" s="7"/>
    </row>
    <row r="5890" spans="1:1" x14ac:dyDescent="0.25">
      <c r="A5890" s="7"/>
    </row>
    <row r="5891" spans="1:1" x14ac:dyDescent="0.25">
      <c r="A5891" s="7"/>
    </row>
    <row r="5892" spans="1:1" x14ac:dyDescent="0.25">
      <c r="A5892" s="7"/>
    </row>
    <row r="5893" spans="1:1" x14ac:dyDescent="0.25">
      <c r="A5893" s="7"/>
    </row>
    <row r="5894" spans="1:1" x14ac:dyDescent="0.25">
      <c r="A5894" s="7"/>
    </row>
    <row r="5895" spans="1:1" x14ac:dyDescent="0.25">
      <c r="A5895" s="7"/>
    </row>
    <row r="5896" spans="1:1" x14ac:dyDescent="0.25">
      <c r="A5896" s="7"/>
    </row>
    <row r="5897" spans="1:1" x14ac:dyDescent="0.25">
      <c r="A5897" s="7"/>
    </row>
    <row r="5898" spans="1:1" x14ac:dyDescent="0.25">
      <c r="A5898" s="7"/>
    </row>
    <row r="5899" spans="1:1" x14ac:dyDescent="0.25">
      <c r="A5899" s="7"/>
    </row>
    <row r="5900" spans="1:1" x14ac:dyDescent="0.25">
      <c r="A5900" s="7"/>
    </row>
    <row r="5901" spans="1:1" x14ac:dyDescent="0.25">
      <c r="A5901" s="7"/>
    </row>
    <row r="5902" spans="1:1" x14ac:dyDescent="0.25">
      <c r="A5902" s="7"/>
    </row>
    <row r="5903" spans="1:1" x14ac:dyDescent="0.25">
      <c r="A5903" s="7"/>
    </row>
    <row r="5904" spans="1:1" x14ac:dyDescent="0.25">
      <c r="A5904" s="7"/>
    </row>
    <row r="5905" spans="1:1" x14ac:dyDescent="0.25">
      <c r="A5905" s="7"/>
    </row>
    <row r="5906" spans="1:1" x14ac:dyDescent="0.25">
      <c r="A5906" s="7"/>
    </row>
    <row r="5907" spans="1:1" x14ac:dyDescent="0.25">
      <c r="A5907" s="7"/>
    </row>
    <row r="5908" spans="1:1" x14ac:dyDescent="0.25">
      <c r="A5908" s="7"/>
    </row>
    <row r="5909" spans="1:1" x14ac:dyDescent="0.25">
      <c r="A5909" s="7"/>
    </row>
    <row r="5910" spans="1:1" x14ac:dyDescent="0.25">
      <c r="A5910" s="7"/>
    </row>
    <row r="5911" spans="1:1" x14ac:dyDescent="0.25">
      <c r="A5911" s="7"/>
    </row>
    <row r="5912" spans="1:1" x14ac:dyDescent="0.25">
      <c r="A5912" s="7"/>
    </row>
    <row r="5913" spans="1:1" x14ac:dyDescent="0.25">
      <c r="A5913" s="7"/>
    </row>
    <row r="5914" spans="1:1" x14ac:dyDescent="0.25">
      <c r="A5914" s="7"/>
    </row>
    <row r="5915" spans="1:1" x14ac:dyDescent="0.25">
      <c r="A5915" s="7"/>
    </row>
    <row r="5916" spans="1:1" x14ac:dyDescent="0.25">
      <c r="A5916" s="7"/>
    </row>
    <row r="5917" spans="1:1" x14ac:dyDescent="0.25">
      <c r="A5917" s="7"/>
    </row>
    <row r="5918" spans="1:1" x14ac:dyDescent="0.25">
      <c r="A5918" s="7"/>
    </row>
    <row r="5919" spans="1:1" x14ac:dyDescent="0.25">
      <c r="A5919" s="7"/>
    </row>
    <row r="5920" spans="1:1" x14ac:dyDescent="0.25">
      <c r="A5920" s="7"/>
    </row>
    <row r="5921" spans="1:1" x14ac:dyDescent="0.25">
      <c r="A5921" s="7"/>
    </row>
    <row r="5922" spans="1:1" x14ac:dyDescent="0.25">
      <c r="A5922" s="7"/>
    </row>
    <row r="5923" spans="1:1" x14ac:dyDescent="0.25">
      <c r="A5923" s="7"/>
    </row>
    <row r="5924" spans="1:1" x14ac:dyDescent="0.25">
      <c r="A5924" s="7"/>
    </row>
    <row r="5925" spans="1:1" x14ac:dyDescent="0.25">
      <c r="A5925" s="7"/>
    </row>
    <row r="5926" spans="1:1" x14ac:dyDescent="0.25">
      <c r="A5926" s="7"/>
    </row>
    <row r="5927" spans="1:1" x14ac:dyDescent="0.25">
      <c r="A5927" s="7"/>
    </row>
    <row r="5928" spans="1:1" x14ac:dyDescent="0.25">
      <c r="A5928" s="7"/>
    </row>
    <row r="5929" spans="1:1" x14ac:dyDescent="0.25">
      <c r="A5929" s="7"/>
    </row>
    <row r="5930" spans="1:1" x14ac:dyDescent="0.25">
      <c r="A5930" s="7"/>
    </row>
    <row r="5931" spans="1:1" x14ac:dyDescent="0.25">
      <c r="A5931" s="7"/>
    </row>
    <row r="5932" spans="1:1" x14ac:dyDescent="0.25">
      <c r="A5932" s="7"/>
    </row>
    <row r="5933" spans="1:1" x14ac:dyDescent="0.25">
      <c r="A5933" s="7"/>
    </row>
    <row r="5934" spans="1:1" x14ac:dyDescent="0.25">
      <c r="A5934" s="7"/>
    </row>
    <row r="5935" spans="1:1" x14ac:dyDescent="0.25">
      <c r="A5935" s="7"/>
    </row>
    <row r="5936" spans="1:1" x14ac:dyDescent="0.25">
      <c r="A5936" s="7"/>
    </row>
    <row r="5937" spans="1:1" x14ac:dyDescent="0.25">
      <c r="A5937" s="7"/>
    </row>
    <row r="5938" spans="1:1" x14ac:dyDescent="0.25">
      <c r="A5938" s="7"/>
    </row>
    <row r="5939" spans="1:1" x14ac:dyDescent="0.25">
      <c r="A5939" s="7"/>
    </row>
    <row r="5940" spans="1:1" x14ac:dyDescent="0.25">
      <c r="A5940" s="7"/>
    </row>
    <row r="5941" spans="1:1" x14ac:dyDescent="0.25">
      <c r="A5941" s="7"/>
    </row>
    <row r="5942" spans="1:1" x14ac:dyDescent="0.25">
      <c r="A5942" s="7"/>
    </row>
    <row r="5943" spans="1:1" x14ac:dyDescent="0.25">
      <c r="A5943" s="7"/>
    </row>
    <row r="5944" spans="1:1" x14ac:dyDescent="0.25">
      <c r="A5944" s="7"/>
    </row>
    <row r="5945" spans="1:1" x14ac:dyDescent="0.25">
      <c r="A5945" s="7"/>
    </row>
    <row r="5946" spans="1:1" x14ac:dyDescent="0.25">
      <c r="A5946" s="7"/>
    </row>
    <row r="5947" spans="1:1" x14ac:dyDescent="0.25">
      <c r="A5947" s="7"/>
    </row>
    <row r="5948" spans="1:1" x14ac:dyDescent="0.25">
      <c r="A5948" s="7"/>
    </row>
    <row r="5949" spans="1:1" x14ac:dyDescent="0.25">
      <c r="A5949" s="7"/>
    </row>
    <row r="5950" spans="1:1" x14ac:dyDescent="0.25">
      <c r="A5950" s="7"/>
    </row>
    <row r="5951" spans="1:1" x14ac:dyDescent="0.25">
      <c r="A5951" s="7"/>
    </row>
    <row r="5952" spans="1:1" x14ac:dyDescent="0.25">
      <c r="A5952" s="7"/>
    </row>
    <row r="5953" spans="1:1" x14ac:dyDescent="0.25">
      <c r="A5953" s="7"/>
    </row>
    <row r="5954" spans="1:1" x14ac:dyDescent="0.25">
      <c r="A5954" s="7"/>
    </row>
    <row r="5955" spans="1:1" x14ac:dyDescent="0.25">
      <c r="A5955" s="7"/>
    </row>
    <row r="5956" spans="1:1" x14ac:dyDescent="0.25">
      <c r="A5956" s="7"/>
    </row>
    <row r="5957" spans="1:1" x14ac:dyDescent="0.25">
      <c r="A5957" s="7"/>
    </row>
    <row r="5958" spans="1:1" x14ac:dyDescent="0.25">
      <c r="A5958" s="7"/>
    </row>
    <row r="5959" spans="1:1" x14ac:dyDescent="0.25">
      <c r="A5959" s="7"/>
    </row>
    <row r="5960" spans="1:1" x14ac:dyDescent="0.25">
      <c r="A5960" s="7"/>
    </row>
    <row r="5961" spans="1:1" x14ac:dyDescent="0.25">
      <c r="A5961" s="7"/>
    </row>
    <row r="5962" spans="1:1" x14ac:dyDescent="0.25">
      <c r="A5962" s="7"/>
    </row>
    <row r="5963" spans="1:1" x14ac:dyDescent="0.25">
      <c r="A5963" s="7"/>
    </row>
    <row r="5964" spans="1:1" x14ac:dyDescent="0.25">
      <c r="A5964" s="7"/>
    </row>
    <row r="5965" spans="1:1" x14ac:dyDescent="0.25">
      <c r="A5965" s="7"/>
    </row>
    <row r="5966" spans="1:1" x14ac:dyDescent="0.25">
      <c r="A5966" s="7"/>
    </row>
    <row r="5967" spans="1:1" x14ac:dyDescent="0.25">
      <c r="A5967" s="7"/>
    </row>
    <row r="5968" spans="1:1" x14ac:dyDescent="0.25">
      <c r="A5968" s="7"/>
    </row>
    <row r="5969" spans="1:1" x14ac:dyDescent="0.25">
      <c r="A5969" s="7"/>
    </row>
    <row r="5970" spans="1:1" x14ac:dyDescent="0.25">
      <c r="A5970" s="7"/>
    </row>
    <row r="5971" spans="1:1" x14ac:dyDescent="0.25">
      <c r="A5971" s="7"/>
    </row>
    <row r="5972" spans="1:1" x14ac:dyDescent="0.25">
      <c r="A5972" s="7"/>
    </row>
    <row r="5973" spans="1:1" x14ac:dyDescent="0.25">
      <c r="A5973" s="7"/>
    </row>
    <row r="5974" spans="1:1" x14ac:dyDescent="0.25">
      <c r="A5974" s="7"/>
    </row>
    <row r="5975" spans="1:1" x14ac:dyDescent="0.25">
      <c r="A5975" s="7"/>
    </row>
    <row r="5976" spans="1:1" x14ac:dyDescent="0.25">
      <c r="A5976" s="7"/>
    </row>
    <row r="5977" spans="1:1" x14ac:dyDescent="0.25">
      <c r="A5977" s="7"/>
    </row>
    <row r="5978" spans="1:1" x14ac:dyDescent="0.25">
      <c r="A5978" s="7"/>
    </row>
    <row r="5979" spans="1:1" x14ac:dyDescent="0.25">
      <c r="A5979" s="7"/>
    </row>
    <row r="5980" spans="1:1" x14ac:dyDescent="0.25">
      <c r="A5980" s="7"/>
    </row>
    <row r="5981" spans="1:1" x14ac:dyDescent="0.25">
      <c r="A5981" s="7"/>
    </row>
    <row r="5982" spans="1:1" x14ac:dyDescent="0.25">
      <c r="A5982" s="7"/>
    </row>
    <row r="5983" spans="1:1" x14ac:dyDescent="0.25">
      <c r="A5983" s="7"/>
    </row>
    <row r="5984" spans="1:1" x14ac:dyDescent="0.25">
      <c r="A5984" s="7"/>
    </row>
    <row r="5985" spans="1:1" x14ac:dyDescent="0.25">
      <c r="A5985" s="7"/>
    </row>
    <row r="5986" spans="1:1" x14ac:dyDescent="0.25">
      <c r="A5986" s="7"/>
    </row>
    <row r="5987" spans="1:1" x14ac:dyDescent="0.25">
      <c r="A5987" s="7"/>
    </row>
    <row r="5988" spans="1:1" x14ac:dyDescent="0.25">
      <c r="A5988" s="7"/>
    </row>
    <row r="5989" spans="1:1" x14ac:dyDescent="0.25">
      <c r="A5989" s="7"/>
    </row>
    <row r="5990" spans="1:1" x14ac:dyDescent="0.25">
      <c r="A5990" s="7"/>
    </row>
    <row r="5991" spans="1:1" x14ac:dyDescent="0.25">
      <c r="A5991" s="7"/>
    </row>
    <row r="5992" spans="1:1" x14ac:dyDescent="0.25">
      <c r="A5992" s="7"/>
    </row>
    <row r="5993" spans="1:1" x14ac:dyDescent="0.25">
      <c r="A5993" s="7"/>
    </row>
    <row r="5994" spans="1:1" x14ac:dyDescent="0.25">
      <c r="A5994" s="7"/>
    </row>
    <row r="5995" spans="1:1" x14ac:dyDescent="0.25">
      <c r="A5995" s="7"/>
    </row>
    <row r="5996" spans="1:1" x14ac:dyDescent="0.25">
      <c r="A5996" s="7"/>
    </row>
    <row r="5997" spans="1:1" x14ac:dyDescent="0.25">
      <c r="A5997" s="7"/>
    </row>
    <row r="5998" spans="1:1" x14ac:dyDescent="0.25">
      <c r="A5998" s="7"/>
    </row>
    <row r="5999" spans="1:1" x14ac:dyDescent="0.25">
      <c r="A5999" s="7"/>
    </row>
    <row r="6000" spans="1:1" x14ac:dyDescent="0.25">
      <c r="A6000" s="7"/>
    </row>
    <row r="6001" spans="1:1" x14ac:dyDescent="0.25">
      <c r="A6001" s="7"/>
    </row>
    <row r="6002" spans="1:1" x14ac:dyDescent="0.25">
      <c r="A6002" s="7"/>
    </row>
    <row r="6003" spans="1:1" x14ac:dyDescent="0.25">
      <c r="A6003" s="7"/>
    </row>
    <row r="6004" spans="1:1" x14ac:dyDescent="0.25">
      <c r="A6004" s="7"/>
    </row>
    <row r="6005" spans="1:1" x14ac:dyDescent="0.25">
      <c r="A6005" s="7"/>
    </row>
    <row r="6006" spans="1:1" x14ac:dyDescent="0.25">
      <c r="A6006" s="7"/>
    </row>
    <row r="6007" spans="1:1" x14ac:dyDescent="0.25">
      <c r="A6007" s="7"/>
    </row>
    <row r="6008" spans="1:1" x14ac:dyDescent="0.25">
      <c r="A6008" s="7"/>
    </row>
    <row r="6009" spans="1:1" x14ac:dyDescent="0.25">
      <c r="A6009" s="7"/>
    </row>
    <row r="6010" spans="1:1" x14ac:dyDescent="0.25">
      <c r="A6010" s="7"/>
    </row>
    <row r="6011" spans="1:1" x14ac:dyDescent="0.25">
      <c r="A6011" s="7"/>
    </row>
    <row r="6012" spans="1:1" x14ac:dyDescent="0.25">
      <c r="A6012" s="7"/>
    </row>
    <row r="6013" spans="1:1" x14ac:dyDescent="0.25">
      <c r="A6013" s="7"/>
    </row>
    <row r="6014" spans="1:1" x14ac:dyDescent="0.25">
      <c r="A6014" s="7"/>
    </row>
    <row r="6015" spans="1:1" x14ac:dyDescent="0.25">
      <c r="A6015" s="7"/>
    </row>
    <row r="6016" spans="1:1" x14ac:dyDescent="0.25">
      <c r="A6016" s="7"/>
    </row>
    <row r="6017" spans="1:1" x14ac:dyDescent="0.25">
      <c r="A6017" s="7"/>
    </row>
    <row r="6018" spans="1:1" x14ac:dyDescent="0.25">
      <c r="A6018" s="7"/>
    </row>
    <row r="6019" spans="1:1" x14ac:dyDescent="0.25">
      <c r="A6019" s="7"/>
    </row>
    <row r="6020" spans="1:1" x14ac:dyDescent="0.25">
      <c r="A6020" s="7"/>
    </row>
    <row r="6021" spans="1:1" x14ac:dyDescent="0.25">
      <c r="A6021" s="7"/>
    </row>
    <row r="6022" spans="1:1" x14ac:dyDescent="0.25">
      <c r="A6022" s="7"/>
    </row>
    <row r="6023" spans="1:1" x14ac:dyDescent="0.25">
      <c r="A6023" s="7"/>
    </row>
    <row r="6024" spans="1:1" x14ac:dyDescent="0.25">
      <c r="A6024" s="7"/>
    </row>
    <row r="6025" spans="1:1" x14ac:dyDescent="0.25">
      <c r="A6025" s="7"/>
    </row>
    <row r="6026" spans="1:1" x14ac:dyDescent="0.25">
      <c r="A6026" s="7"/>
    </row>
    <row r="6027" spans="1:1" x14ac:dyDescent="0.25">
      <c r="A6027" s="7"/>
    </row>
    <row r="6028" spans="1:1" x14ac:dyDescent="0.25">
      <c r="A6028" s="7"/>
    </row>
    <row r="6029" spans="1:1" x14ac:dyDescent="0.25">
      <c r="A6029" s="7"/>
    </row>
    <row r="6030" spans="1:1" x14ac:dyDescent="0.25">
      <c r="A6030" s="7"/>
    </row>
    <row r="6031" spans="1:1" x14ac:dyDescent="0.25">
      <c r="A6031" s="7"/>
    </row>
    <row r="6032" spans="1:1" x14ac:dyDescent="0.25">
      <c r="A6032" s="7"/>
    </row>
    <row r="6033" spans="1:1" x14ac:dyDescent="0.25">
      <c r="A6033" s="7"/>
    </row>
    <row r="6034" spans="1:1" x14ac:dyDescent="0.25">
      <c r="A6034" s="7"/>
    </row>
    <row r="6035" spans="1:1" x14ac:dyDescent="0.25">
      <c r="A6035" s="7"/>
    </row>
    <row r="6036" spans="1:1" x14ac:dyDescent="0.25">
      <c r="A6036" s="7"/>
    </row>
    <row r="6037" spans="1:1" x14ac:dyDescent="0.25">
      <c r="A6037" s="7"/>
    </row>
    <row r="6038" spans="1:1" x14ac:dyDescent="0.25">
      <c r="A6038" s="7"/>
    </row>
    <row r="6039" spans="1:1" x14ac:dyDescent="0.25">
      <c r="A6039" s="7"/>
    </row>
    <row r="6040" spans="1:1" x14ac:dyDescent="0.25">
      <c r="A6040" s="7"/>
    </row>
    <row r="6041" spans="1:1" x14ac:dyDescent="0.25">
      <c r="A6041" s="7"/>
    </row>
    <row r="6042" spans="1:1" x14ac:dyDescent="0.25">
      <c r="A6042" s="7"/>
    </row>
    <row r="6043" spans="1:1" x14ac:dyDescent="0.25">
      <c r="A6043" s="7"/>
    </row>
    <row r="6044" spans="1:1" x14ac:dyDescent="0.25">
      <c r="A6044" s="7"/>
    </row>
    <row r="6045" spans="1:1" x14ac:dyDescent="0.25">
      <c r="A6045" s="7"/>
    </row>
    <row r="6046" spans="1:1" x14ac:dyDescent="0.25">
      <c r="A6046" s="7"/>
    </row>
    <row r="6047" spans="1:1" x14ac:dyDescent="0.25">
      <c r="A6047" s="7"/>
    </row>
    <row r="6048" spans="1:1" x14ac:dyDescent="0.25">
      <c r="A6048" s="7"/>
    </row>
    <row r="6049" spans="1:1" x14ac:dyDescent="0.25">
      <c r="A6049" s="7"/>
    </row>
    <row r="6050" spans="1:1" x14ac:dyDescent="0.25">
      <c r="A6050" s="7"/>
    </row>
    <row r="6051" spans="1:1" x14ac:dyDescent="0.25">
      <c r="A6051" s="7"/>
    </row>
    <row r="6052" spans="1:1" x14ac:dyDescent="0.25">
      <c r="A6052" s="7"/>
    </row>
    <row r="6053" spans="1:1" x14ac:dyDescent="0.25">
      <c r="A6053" s="7"/>
    </row>
    <row r="6054" spans="1:1" x14ac:dyDescent="0.25">
      <c r="A6054" s="7"/>
    </row>
    <row r="6055" spans="1:1" x14ac:dyDescent="0.25">
      <c r="A6055" s="7"/>
    </row>
    <row r="6056" spans="1:1" x14ac:dyDescent="0.25">
      <c r="A6056" s="7"/>
    </row>
    <row r="6057" spans="1:1" x14ac:dyDescent="0.25">
      <c r="A6057" s="7"/>
    </row>
    <row r="6058" spans="1:1" x14ac:dyDescent="0.25">
      <c r="A6058" s="7"/>
    </row>
    <row r="6059" spans="1:1" x14ac:dyDescent="0.25">
      <c r="A6059" s="7"/>
    </row>
    <row r="6060" spans="1:1" x14ac:dyDescent="0.25">
      <c r="A6060" s="7"/>
    </row>
    <row r="6061" spans="1:1" x14ac:dyDescent="0.25">
      <c r="A6061" s="7"/>
    </row>
    <row r="6062" spans="1:1" x14ac:dyDescent="0.25">
      <c r="A6062" s="7"/>
    </row>
    <row r="6063" spans="1:1" x14ac:dyDescent="0.25">
      <c r="A6063" s="7"/>
    </row>
    <row r="6064" spans="1:1" x14ac:dyDescent="0.25">
      <c r="A6064" s="7"/>
    </row>
    <row r="6065" spans="1:1" x14ac:dyDescent="0.25">
      <c r="A6065" s="7"/>
    </row>
    <row r="6066" spans="1:1" x14ac:dyDescent="0.25">
      <c r="A6066" s="7"/>
    </row>
    <row r="6067" spans="1:1" x14ac:dyDescent="0.25">
      <c r="A6067" s="7"/>
    </row>
    <row r="6068" spans="1:1" x14ac:dyDescent="0.25">
      <c r="A6068" s="7"/>
    </row>
    <row r="6069" spans="1:1" x14ac:dyDescent="0.25">
      <c r="A6069" s="7"/>
    </row>
    <row r="6070" spans="1:1" x14ac:dyDescent="0.25">
      <c r="A6070" s="7"/>
    </row>
    <row r="6071" spans="1:1" x14ac:dyDescent="0.25">
      <c r="A6071" s="7"/>
    </row>
    <row r="6072" spans="1:1" x14ac:dyDescent="0.25">
      <c r="A6072" s="7"/>
    </row>
    <row r="6073" spans="1:1" x14ac:dyDescent="0.25">
      <c r="A6073" s="7"/>
    </row>
    <row r="6074" spans="1:1" x14ac:dyDescent="0.25">
      <c r="A6074" s="7"/>
    </row>
    <row r="6075" spans="1:1" x14ac:dyDescent="0.25">
      <c r="A6075" s="7"/>
    </row>
    <row r="6076" spans="1:1" x14ac:dyDescent="0.25">
      <c r="A6076" s="7"/>
    </row>
    <row r="6077" spans="1:1" x14ac:dyDescent="0.25">
      <c r="A6077" s="7"/>
    </row>
    <row r="6078" spans="1:1" x14ac:dyDescent="0.25">
      <c r="A6078" s="7"/>
    </row>
    <row r="6079" spans="1:1" x14ac:dyDescent="0.25">
      <c r="A6079" s="7"/>
    </row>
    <row r="6080" spans="1:1" x14ac:dyDescent="0.25">
      <c r="A6080" s="7"/>
    </row>
    <row r="6081" spans="1:1" x14ac:dyDescent="0.25">
      <c r="A6081" s="7"/>
    </row>
    <row r="6082" spans="1:1" x14ac:dyDescent="0.25">
      <c r="A6082" s="7"/>
    </row>
    <row r="6083" spans="1:1" x14ac:dyDescent="0.25">
      <c r="A6083" s="7"/>
    </row>
    <row r="6084" spans="1:1" x14ac:dyDescent="0.25">
      <c r="A6084" s="7"/>
    </row>
    <row r="6085" spans="1:1" x14ac:dyDescent="0.25">
      <c r="A6085" s="7"/>
    </row>
    <row r="6086" spans="1:1" x14ac:dyDescent="0.25">
      <c r="A6086" s="7"/>
    </row>
    <row r="6087" spans="1:1" x14ac:dyDescent="0.25">
      <c r="A6087" s="7"/>
    </row>
    <row r="6088" spans="1:1" x14ac:dyDescent="0.25">
      <c r="A6088" s="7"/>
    </row>
    <row r="6089" spans="1:1" x14ac:dyDescent="0.25">
      <c r="A6089" s="7"/>
    </row>
    <row r="6090" spans="1:1" x14ac:dyDescent="0.25">
      <c r="A6090" s="7"/>
    </row>
    <row r="6091" spans="1:1" x14ac:dyDescent="0.25">
      <c r="A6091" s="7"/>
    </row>
    <row r="6092" spans="1:1" x14ac:dyDescent="0.25">
      <c r="A6092" s="7"/>
    </row>
    <row r="6093" spans="1:1" x14ac:dyDescent="0.25">
      <c r="A6093" s="7"/>
    </row>
    <row r="6094" spans="1:1" x14ac:dyDescent="0.25">
      <c r="A6094" s="7"/>
    </row>
    <row r="6095" spans="1:1" x14ac:dyDescent="0.25">
      <c r="A6095" s="7"/>
    </row>
    <row r="6096" spans="1:1" x14ac:dyDescent="0.25">
      <c r="A6096" s="7"/>
    </row>
    <row r="6097" spans="1:1" x14ac:dyDescent="0.25">
      <c r="A6097" s="7"/>
    </row>
    <row r="6098" spans="1:1" x14ac:dyDescent="0.25">
      <c r="A6098" s="7"/>
    </row>
    <row r="6099" spans="1:1" x14ac:dyDescent="0.25">
      <c r="A6099" s="7"/>
    </row>
    <row r="6100" spans="1:1" x14ac:dyDescent="0.25">
      <c r="A6100" s="7"/>
    </row>
    <row r="6101" spans="1:1" x14ac:dyDescent="0.25">
      <c r="A6101" s="7"/>
    </row>
    <row r="6102" spans="1:1" x14ac:dyDescent="0.25">
      <c r="A6102" s="7"/>
    </row>
    <row r="6103" spans="1:1" x14ac:dyDescent="0.25">
      <c r="A6103" s="7"/>
    </row>
    <row r="6104" spans="1:1" x14ac:dyDescent="0.25">
      <c r="A6104" s="7"/>
    </row>
    <row r="6105" spans="1:1" x14ac:dyDescent="0.25">
      <c r="A6105" s="7"/>
    </row>
    <row r="6106" spans="1:1" x14ac:dyDescent="0.25">
      <c r="A6106" s="7"/>
    </row>
    <row r="6107" spans="1:1" x14ac:dyDescent="0.25">
      <c r="A6107" s="7"/>
    </row>
    <row r="6108" spans="1:1" x14ac:dyDescent="0.25">
      <c r="A6108" s="7"/>
    </row>
    <row r="6109" spans="1:1" x14ac:dyDescent="0.25">
      <c r="A6109" s="7"/>
    </row>
    <row r="6110" spans="1:1" x14ac:dyDescent="0.25">
      <c r="A6110" s="7"/>
    </row>
    <row r="6111" spans="1:1" x14ac:dyDescent="0.25">
      <c r="A6111" s="7"/>
    </row>
    <row r="6112" spans="1:1" x14ac:dyDescent="0.25">
      <c r="A6112" s="7"/>
    </row>
    <row r="6113" spans="1:1" x14ac:dyDescent="0.25">
      <c r="A6113" s="7"/>
    </row>
    <row r="6114" spans="1:1" x14ac:dyDescent="0.25">
      <c r="A6114" s="7"/>
    </row>
    <row r="6115" spans="1:1" x14ac:dyDescent="0.25">
      <c r="A6115" s="7"/>
    </row>
    <row r="6116" spans="1:1" x14ac:dyDescent="0.25">
      <c r="A6116" s="7"/>
    </row>
    <row r="6117" spans="1:1" x14ac:dyDescent="0.25">
      <c r="A6117" s="7"/>
    </row>
    <row r="6118" spans="1:1" x14ac:dyDescent="0.25">
      <c r="A6118" s="7"/>
    </row>
    <row r="6119" spans="1:1" x14ac:dyDescent="0.25">
      <c r="A6119" s="7"/>
    </row>
    <row r="6120" spans="1:1" x14ac:dyDescent="0.25">
      <c r="A6120" s="7"/>
    </row>
    <row r="6121" spans="1:1" x14ac:dyDescent="0.25">
      <c r="A6121" s="7"/>
    </row>
    <row r="6122" spans="1:1" x14ac:dyDescent="0.25">
      <c r="A6122" s="7"/>
    </row>
    <row r="6123" spans="1:1" x14ac:dyDescent="0.25">
      <c r="A6123" s="7"/>
    </row>
    <row r="6124" spans="1:1" x14ac:dyDescent="0.25">
      <c r="A6124" s="7"/>
    </row>
    <row r="6125" spans="1:1" x14ac:dyDescent="0.25">
      <c r="A6125" s="7"/>
    </row>
    <row r="6126" spans="1:1" x14ac:dyDescent="0.25">
      <c r="A6126" s="7"/>
    </row>
    <row r="6127" spans="1:1" x14ac:dyDescent="0.25">
      <c r="A6127" s="7"/>
    </row>
    <row r="6128" spans="1:1" x14ac:dyDescent="0.25">
      <c r="A6128" s="7"/>
    </row>
    <row r="6129" spans="1:1" x14ac:dyDescent="0.25">
      <c r="A6129" s="7"/>
    </row>
    <row r="6130" spans="1:1" x14ac:dyDescent="0.25">
      <c r="A6130" s="7"/>
    </row>
    <row r="6131" spans="1:1" x14ac:dyDescent="0.25">
      <c r="A6131" s="7"/>
    </row>
    <row r="6132" spans="1:1" x14ac:dyDescent="0.25">
      <c r="A6132" s="7"/>
    </row>
    <row r="6133" spans="1:1" x14ac:dyDescent="0.25">
      <c r="A6133" s="7"/>
    </row>
    <row r="6134" spans="1:1" x14ac:dyDescent="0.25">
      <c r="A6134" s="7"/>
    </row>
    <row r="6135" spans="1:1" x14ac:dyDescent="0.25">
      <c r="A6135" s="7"/>
    </row>
    <row r="6136" spans="1:1" x14ac:dyDescent="0.25">
      <c r="A6136" s="7"/>
    </row>
    <row r="6137" spans="1:1" x14ac:dyDescent="0.25">
      <c r="A6137" s="7"/>
    </row>
    <row r="6138" spans="1:1" x14ac:dyDescent="0.25">
      <c r="A6138" s="7"/>
    </row>
    <row r="6139" spans="1:1" x14ac:dyDescent="0.25">
      <c r="A6139" s="7"/>
    </row>
    <row r="6140" spans="1:1" x14ac:dyDescent="0.25">
      <c r="A6140" s="7"/>
    </row>
    <row r="6141" spans="1:1" x14ac:dyDescent="0.25">
      <c r="A6141" s="7"/>
    </row>
    <row r="6142" spans="1:1" x14ac:dyDescent="0.25">
      <c r="A6142" s="7"/>
    </row>
    <row r="6143" spans="1:1" x14ac:dyDescent="0.25">
      <c r="A6143" s="7"/>
    </row>
    <row r="6144" spans="1:1" x14ac:dyDescent="0.25">
      <c r="A6144" s="7"/>
    </row>
    <row r="6145" spans="1:1" x14ac:dyDescent="0.25">
      <c r="A6145" s="7"/>
    </row>
    <row r="6146" spans="1:1" x14ac:dyDescent="0.25">
      <c r="A6146" s="7"/>
    </row>
    <row r="6147" spans="1:1" x14ac:dyDescent="0.25">
      <c r="A6147" s="7"/>
    </row>
    <row r="6148" spans="1:1" x14ac:dyDescent="0.25">
      <c r="A6148" s="7"/>
    </row>
    <row r="6149" spans="1:1" x14ac:dyDescent="0.25">
      <c r="A6149" s="7"/>
    </row>
    <row r="6150" spans="1:1" x14ac:dyDescent="0.25">
      <c r="A6150" s="7"/>
    </row>
    <row r="6151" spans="1:1" x14ac:dyDescent="0.25">
      <c r="A6151" s="7"/>
    </row>
    <row r="6152" spans="1:1" x14ac:dyDescent="0.25">
      <c r="A6152" s="7"/>
    </row>
    <row r="6153" spans="1:1" x14ac:dyDescent="0.25">
      <c r="A6153" s="7"/>
    </row>
    <row r="6154" spans="1:1" x14ac:dyDescent="0.25">
      <c r="A6154" s="7"/>
    </row>
    <row r="6155" spans="1:1" x14ac:dyDescent="0.25">
      <c r="A6155" s="7"/>
    </row>
    <row r="6156" spans="1:1" x14ac:dyDescent="0.25">
      <c r="A6156" s="7"/>
    </row>
    <row r="6157" spans="1:1" x14ac:dyDescent="0.25">
      <c r="A6157" s="7"/>
    </row>
    <row r="6158" spans="1:1" x14ac:dyDescent="0.25">
      <c r="A6158" s="7"/>
    </row>
    <row r="6159" spans="1:1" x14ac:dyDescent="0.25">
      <c r="A6159" s="7"/>
    </row>
    <row r="6160" spans="1:1" x14ac:dyDescent="0.25">
      <c r="A6160" s="7"/>
    </row>
    <row r="6161" spans="1:1" x14ac:dyDescent="0.25">
      <c r="A6161" s="7"/>
    </row>
    <row r="6162" spans="1:1" x14ac:dyDescent="0.25">
      <c r="A6162" s="7"/>
    </row>
    <row r="6163" spans="1:1" x14ac:dyDescent="0.25">
      <c r="A6163" s="7"/>
    </row>
    <row r="6164" spans="1:1" x14ac:dyDescent="0.25">
      <c r="A6164" s="7"/>
    </row>
    <row r="6165" spans="1:1" x14ac:dyDescent="0.25">
      <c r="A6165" s="7"/>
    </row>
    <row r="6166" spans="1:1" x14ac:dyDescent="0.25">
      <c r="A6166" s="7"/>
    </row>
    <row r="6167" spans="1:1" x14ac:dyDescent="0.25">
      <c r="A6167" s="7"/>
    </row>
    <row r="6168" spans="1:1" x14ac:dyDescent="0.25">
      <c r="A6168" s="7"/>
    </row>
    <row r="6169" spans="1:1" x14ac:dyDescent="0.25">
      <c r="A6169" s="7"/>
    </row>
    <row r="6170" spans="1:1" x14ac:dyDescent="0.25">
      <c r="A6170" s="7"/>
    </row>
    <row r="6171" spans="1:1" x14ac:dyDescent="0.25">
      <c r="A6171" s="7"/>
    </row>
    <row r="6172" spans="1:1" x14ac:dyDescent="0.25">
      <c r="A6172" s="7"/>
    </row>
    <row r="6173" spans="1:1" x14ac:dyDescent="0.25">
      <c r="A6173" s="7"/>
    </row>
    <row r="6174" spans="1:1" x14ac:dyDescent="0.25">
      <c r="A6174" s="7"/>
    </row>
    <row r="6175" spans="1:1" x14ac:dyDescent="0.25">
      <c r="A6175" s="7"/>
    </row>
    <row r="6176" spans="1:1" x14ac:dyDescent="0.25">
      <c r="A6176" s="7"/>
    </row>
    <row r="6177" spans="1:1" x14ac:dyDescent="0.25">
      <c r="A6177" s="7"/>
    </row>
    <row r="6178" spans="1:1" x14ac:dyDescent="0.25">
      <c r="A6178" s="7"/>
    </row>
    <row r="6179" spans="1:1" x14ac:dyDescent="0.25">
      <c r="A6179" s="7"/>
    </row>
    <row r="6180" spans="1:1" x14ac:dyDescent="0.25">
      <c r="A6180" s="7"/>
    </row>
    <row r="6181" spans="1:1" x14ac:dyDescent="0.25">
      <c r="A6181" s="7"/>
    </row>
    <row r="6182" spans="1:1" x14ac:dyDescent="0.25">
      <c r="A6182" s="7"/>
    </row>
    <row r="6183" spans="1:1" x14ac:dyDescent="0.25">
      <c r="A6183" s="7"/>
    </row>
    <row r="6184" spans="1:1" x14ac:dyDescent="0.25">
      <c r="A6184" s="7"/>
    </row>
    <row r="6185" spans="1:1" x14ac:dyDescent="0.25">
      <c r="A6185" s="7"/>
    </row>
    <row r="6186" spans="1:1" x14ac:dyDescent="0.25">
      <c r="A6186" s="7"/>
    </row>
    <row r="6187" spans="1:1" x14ac:dyDescent="0.25">
      <c r="A6187" s="7"/>
    </row>
    <row r="6188" spans="1:1" x14ac:dyDescent="0.25">
      <c r="A6188" s="7"/>
    </row>
    <row r="6189" spans="1:1" x14ac:dyDescent="0.25">
      <c r="A6189" s="7"/>
    </row>
    <row r="6190" spans="1:1" x14ac:dyDescent="0.25">
      <c r="A6190" s="7"/>
    </row>
    <row r="6191" spans="1:1" x14ac:dyDescent="0.25">
      <c r="A6191" s="7"/>
    </row>
    <row r="6192" spans="1:1" x14ac:dyDescent="0.25">
      <c r="A6192" s="7"/>
    </row>
    <row r="6193" spans="1:1" x14ac:dyDescent="0.25">
      <c r="A6193" s="7"/>
    </row>
    <row r="6194" spans="1:1" x14ac:dyDescent="0.25">
      <c r="A6194" s="7"/>
    </row>
    <row r="6195" spans="1:1" x14ac:dyDescent="0.25">
      <c r="A6195" s="7"/>
    </row>
    <row r="6196" spans="1:1" x14ac:dyDescent="0.25">
      <c r="A6196" s="7"/>
    </row>
    <row r="6197" spans="1:1" x14ac:dyDescent="0.25">
      <c r="A6197" s="7"/>
    </row>
    <row r="6198" spans="1:1" x14ac:dyDescent="0.25">
      <c r="A6198" s="7"/>
    </row>
    <row r="6199" spans="1:1" x14ac:dyDescent="0.25">
      <c r="A6199" s="7"/>
    </row>
    <row r="6200" spans="1:1" x14ac:dyDescent="0.25">
      <c r="A6200" s="7"/>
    </row>
    <row r="6201" spans="1:1" x14ac:dyDescent="0.25">
      <c r="A6201" s="7"/>
    </row>
    <row r="6202" spans="1:1" x14ac:dyDescent="0.25">
      <c r="A6202" s="7"/>
    </row>
    <row r="6203" spans="1:1" x14ac:dyDescent="0.25">
      <c r="A6203" s="7"/>
    </row>
    <row r="6204" spans="1:1" x14ac:dyDescent="0.25">
      <c r="A6204" s="7"/>
    </row>
    <row r="6205" spans="1:1" x14ac:dyDescent="0.25">
      <c r="A6205" s="7"/>
    </row>
    <row r="6206" spans="1:1" x14ac:dyDescent="0.25">
      <c r="A6206" s="7"/>
    </row>
    <row r="6207" spans="1:1" x14ac:dyDescent="0.25">
      <c r="A6207" s="7"/>
    </row>
    <row r="6208" spans="1:1" x14ac:dyDescent="0.25">
      <c r="A6208" s="7"/>
    </row>
    <row r="6209" spans="1:1" x14ac:dyDescent="0.25">
      <c r="A6209" s="7"/>
    </row>
    <row r="6210" spans="1:1" x14ac:dyDescent="0.25">
      <c r="A6210" s="7"/>
    </row>
    <row r="6211" spans="1:1" x14ac:dyDescent="0.25">
      <c r="A6211" s="7"/>
    </row>
    <row r="6212" spans="1:1" x14ac:dyDescent="0.25">
      <c r="A6212" s="7"/>
    </row>
    <row r="6213" spans="1:1" x14ac:dyDescent="0.25">
      <c r="A6213" s="7"/>
    </row>
    <row r="6214" spans="1:1" x14ac:dyDescent="0.25">
      <c r="A6214" s="7"/>
    </row>
    <row r="6215" spans="1:1" x14ac:dyDescent="0.25">
      <c r="A6215" s="7"/>
    </row>
    <row r="6216" spans="1:1" x14ac:dyDescent="0.25">
      <c r="A6216" s="7"/>
    </row>
    <row r="6217" spans="1:1" x14ac:dyDescent="0.25">
      <c r="A6217" s="7"/>
    </row>
    <row r="6218" spans="1:1" x14ac:dyDescent="0.25">
      <c r="A6218" s="7"/>
    </row>
    <row r="6219" spans="1:1" x14ac:dyDescent="0.25">
      <c r="A6219" s="7"/>
    </row>
    <row r="6220" spans="1:1" x14ac:dyDescent="0.25">
      <c r="A6220" s="7"/>
    </row>
    <row r="6221" spans="1:1" x14ac:dyDescent="0.25">
      <c r="A6221" s="7"/>
    </row>
    <row r="6222" spans="1:1" x14ac:dyDescent="0.25">
      <c r="A6222" s="7"/>
    </row>
    <row r="6223" spans="1:1" x14ac:dyDescent="0.25">
      <c r="A6223" s="7"/>
    </row>
    <row r="6224" spans="1:1" x14ac:dyDescent="0.25">
      <c r="A6224" s="7"/>
    </row>
    <row r="6225" spans="1:1" x14ac:dyDescent="0.25">
      <c r="A6225" s="7"/>
    </row>
    <row r="6226" spans="1:1" x14ac:dyDescent="0.25">
      <c r="A6226" s="7"/>
    </row>
    <row r="6227" spans="1:1" x14ac:dyDescent="0.25">
      <c r="A6227" s="7"/>
    </row>
    <row r="6228" spans="1:1" x14ac:dyDescent="0.25">
      <c r="A6228" s="7"/>
    </row>
    <row r="6229" spans="1:1" x14ac:dyDescent="0.25">
      <c r="A6229" s="7"/>
    </row>
    <row r="6230" spans="1:1" x14ac:dyDescent="0.25">
      <c r="A6230" s="7"/>
    </row>
    <row r="6231" spans="1:1" x14ac:dyDescent="0.25">
      <c r="A6231" s="7"/>
    </row>
    <row r="6232" spans="1:1" x14ac:dyDescent="0.25">
      <c r="A6232" s="7"/>
    </row>
    <row r="6233" spans="1:1" x14ac:dyDescent="0.25">
      <c r="A6233" s="7"/>
    </row>
    <row r="6234" spans="1:1" x14ac:dyDescent="0.25">
      <c r="A6234" s="7"/>
    </row>
    <row r="6235" spans="1:1" x14ac:dyDescent="0.25">
      <c r="A6235" s="7"/>
    </row>
    <row r="6236" spans="1:1" x14ac:dyDescent="0.25">
      <c r="A6236" s="7"/>
    </row>
    <row r="6237" spans="1:1" x14ac:dyDescent="0.25">
      <c r="A6237" s="7"/>
    </row>
    <row r="6238" spans="1:1" x14ac:dyDescent="0.25">
      <c r="A6238" s="7"/>
    </row>
    <row r="6239" spans="1:1" x14ac:dyDescent="0.25">
      <c r="A6239" s="7"/>
    </row>
    <row r="6240" spans="1:1" x14ac:dyDescent="0.25">
      <c r="A6240" s="7"/>
    </row>
    <row r="6241" spans="1:1" x14ac:dyDescent="0.25">
      <c r="A6241" s="7"/>
    </row>
    <row r="6242" spans="1:1" x14ac:dyDescent="0.25">
      <c r="A6242" s="7"/>
    </row>
    <row r="6243" spans="1:1" x14ac:dyDescent="0.25">
      <c r="A6243" s="7"/>
    </row>
    <row r="6244" spans="1:1" x14ac:dyDescent="0.25">
      <c r="A6244" s="7"/>
    </row>
    <row r="6245" spans="1:1" x14ac:dyDescent="0.25">
      <c r="A6245" s="7"/>
    </row>
    <row r="6246" spans="1:1" x14ac:dyDescent="0.25">
      <c r="A6246" s="7"/>
    </row>
    <row r="6247" spans="1:1" x14ac:dyDescent="0.25">
      <c r="A6247" s="7"/>
    </row>
    <row r="6248" spans="1:1" x14ac:dyDescent="0.25">
      <c r="A6248" s="7"/>
    </row>
    <row r="6249" spans="1:1" x14ac:dyDescent="0.25">
      <c r="A6249" s="7"/>
    </row>
    <row r="6250" spans="1:1" x14ac:dyDescent="0.25">
      <c r="A6250" s="7"/>
    </row>
    <row r="6251" spans="1:1" x14ac:dyDescent="0.25">
      <c r="A6251" s="7"/>
    </row>
    <row r="6252" spans="1:1" x14ac:dyDescent="0.25">
      <c r="A6252" s="7"/>
    </row>
    <row r="6253" spans="1:1" x14ac:dyDescent="0.25">
      <c r="A6253" s="7"/>
    </row>
    <row r="6254" spans="1:1" x14ac:dyDescent="0.25">
      <c r="A6254" s="7"/>
    </row>
    <row r="6255" spans="1:1" x14ac:dyDescent="0.25">
      <c r="A6255" s="7"/>
    </row>
    <row r="6256" spans="1:1" x14ac:dyDescent="0.25">
      <c r="A6256" s="7"/>
    </row>
    <row r="6257" spans="1:1" x14ac:dyDescent="0.25">
      <c r="A6257" s="7"/>
    </row>
    <row r="6258" spans="1:1" x14ac:dyDescent="0.25">
      <c r="A6258" s="7"/>
    </row>
    <row r="6259" spans="1:1" x14ac:dyDescent="0.25">
      <c r="A6259" s="7"/>
    </row>
    <row r="6260" spans="1:1" x14ac:dyDescent="0.25">
      <c r="A6260" s="7"/>
    </row>
    <row r="6261" spans="1:1" x14ac:dyDescent="0.25">
      <c r="A6261" s="7"/>
    </row>
    <row r="6262" spans="1:1" x14ac:dyDescent="0.25">
      <c r="A6262" s="7"/>
    </row>
    <row r="6263" spans="1:1" x14ac:dyDescent="0.25">
      <c r="A6263" s="7"/>
    </row>
    <row r="6264" spans="1:1" x14ac:dyDescent="0.25">
      <c r="A6264" s="7"/>
    </row>
    <row r="6265" spans="1:1" x14ac:dyDescent="0.25">
      <c r="A6265" s="7"/>
    </row>
    <row r="6266" spans="1:1" x14ac:dyDescent="0.25">
      <c r="A6266" s="7"/>
    </row>
    <row r="6267" spans="1:1" x14ac:dyDescent="0.25">
      <c r="A6267" s="7"/>
    </row>
    <row r="6268" spans="1:1" x14ac:dyDescent="0.25">
      <c r="A6268" s="7"/>
    </row>
    <row r="6269" spans="1:1" x14ac:dyDescent="0.25">
      <c r="A6269" s="7"/>
    </row>
    <row r="6270" spans="1:1" x14ac:dyDescent="0.25">
      <c r="A6270" s="7"/>
    </row>
    <row r="6271" spans="1:1" x14ac:dyDescent="0.25">
      <c r="A6271" s="7"/>
    </row>
    <row r="6272" spans="1:1" x14ac:dyDescent="0.25">
      <c r="A6272" s="7"/>
    </row>
    <row r="6273" spans="1:1" x14ac:dyDescent="0.25">
      <c r="A6273" s="7"/>
    </row>
    <row r="6274" spans="1:1" x14ac:dyDescent="0.25">
      <c r="A6274" s="7"/>
    </row>
    <row r="6275" spans="1:1" x14ac:dyDescent="0.25">
      <c r="A6275" s="7"/>
    </row>
    <row r="6276" spans="1:1" x14ac:dyDescent="0.25">
      <c r="A6276" s="7"/>
    </row>
    <row r="6277" spans="1:1" x14ac:dyDescent="0.25">
      <c r="A6277" s="7"/>
    </row>
    <row r="6278" spans="1:1" x14ac:dyDescent="0.25">
      <c r="A6278" s="7"/>
    </row>
    <row r="6279" spans="1:1" x14ac:dyDescent="0.25">
      <c r="A6279" s="7"/>
    </row>
    <row r="6280" spans="1:1" x14ac:dyDescent="0.25">
      <c r="A6280" s="7"/>
    </row>
    <row r="6281" spans="1:1" x14ac:dyDescent="0.25">
      <c r="A6281" s="7"/>
    </row>
    <row r="6282" spans="1:1" x14ac:dyDescent="0.25">
      <c r="A6282" s="7"/>
    </row>
    <row r="6283" spans="1:1" x14ac:dyDescent="0.25">
      <c r="A6283" s="7"/>
    </row>
    <row r="6284" spans="1:1" x14ac:dyDescent="0.25">
      <c r="A6284" s="7"/>
    </row>
    <row r="6285" spans="1:1" x14ac:dyDescent="0.25">
      <c r="A6285" s="7"/>
    </row>
    <row r="6286" spans="1:1" x14ac:dyDescent="0.25">
      <c r="A6286" s="7"/>
    </row>
    <row r="6287" spans="1:1" x14ac:dyDescent="0.25">
      <c r="A6287" s="7"/>
    </row>
    <row r="6288" spans="1:1" x14ac:dyDescent="0.25">
      <c r="A6288" s="7"/>
    </row>
    <row r="6289" spans="1:1" x14ac:dyDescent="0.25">
      <c r="A6289" s="7"/>
    </row>
    <row r="6290" spans="1:1" x14ac:dyDescent="0.25">
      <c r="A6290" s="7"/>
    </row>
    <row r="6291" spans="1:1" x14ac:dyDescent="0.25">
      <c r="A6291" s="7"/>
    </row>
    <row r="6292" spans="1:1" x14ac:dyDescent="0.25">
      <c r="A6292" s="7"/>
    </row>
    <row r="6293" spans="1:1" x14ac:dyDescent="0.25">
      <c r="A6293" s="7"/>
    </row>
    <row r="6294" spans="1:1" x14ac:dyDescent="0.25">
      <c r="A6294" s="7"/>
    </row>
    <row r="6295" spans="1:1" x14ac:dyDescent="0.25">
      <c r="A6295" s="7"/>
    </row>
    <row r="6296" spans="1:1" x14ac:dyDescent="0.25">
      <c r="A6296" s="7"/>
    </row>
    <row r="6297" spans="1:1" x14ac:dyDescent="0.25">
      <c r="A6297" s="7"/>
    </row>
    <row r="6298" spans="1:1" x14ac:dyDescent="0.25">
      <c r="A6298" s="7"/>
    </row>
    <row r="6299" spans="1:1" x14ac:dyDescent="0.25">
      <c r="A6299" s="7"/>
    </row>
    <row r="6300" spans="1:1" x14ac:dyDescent="0.25">
      <c r="A6300" s="7"/>
    </row>
    <row r="6301" spans="1:1" x14ac:dyDescent="0.25">
      <c r="A6301" s="7"/>
    </row>
    <row r="6302" spans="1:1" x14ac:dyDescent="0.25">
      <c r="A6302" s="7"/>
    </row>
    <row r="6303" spans="1:1" x14ac:dyDescent="0.25">
      <c r="A6303" s="7"/>
    </row>
    <row r="6304" spans="1:1" x14ac:dyDescent="0.25">
      <c r="A6304" s="7"/>
    </row>
    <row r="6305" spans="1:1" x14ac:dyDescent="0.25">
      <c r="A6305" s="7"/>
    </row>
    <row r="6306" spans="1:1" x14ac:dyDescent="0.25">
      <c r="A6306" s="7"/>
    </row>
    <row r="6307" spans="1:1" x14ac:dyDescent="0.25">
      <c r="A6307" s="7"/>
    </row>
    <row r="6308" spans="1:1" x14ac:dyDescent="0.25">
      <c r="A6308" s="7"/>
    </row>
    <row r="6309" spans="1:1" x14ac:dyDescent="0.25">
      <c r="A6309" s="7"/>
    </row>
    <row r="6310" spans="1:1" x14ac:dyDescent="0.25">
      <c r="A6310" s="7"/>
    </row>
    <row r="6311" spans="1:1" x14ac:dyDescent="0.25">
      <c r="A6311" s="7"/>
    </row>
    <row r="6312" spans="1:1" x14ac:dyDescent="0.25">
      <c r="A6312" s="7"/>
    </row>
    <row r="6313" spans="1:1" x14ac:dyDescent="0.25">
      <c r="A6313" s="7"/>
    </row>
    <row r="6314" spans="1:1" x14ac:dyDescent="0.25">
      <c r="A6314" s="7"/>
    </row>
    <row r="6315" spans="1:1" x14ac:dyDescent="0.25">
      <c r="A6315" s="7"/>
    </row>
    <row r="6316" spans="1:1" x14ac:dyDescent="0.25">
      <c r="A6316" s="7"/>
    </row>
    <row r="6317" spans="1:1" x14ac:dyDescent="0.25">
      <c r="A6317" s="7"/>
    </row>
    <row r="6318" spans="1:1" x14ac:dyDescent="0.25">
      <c r="A6318" s="7"/>
    </row>
    <row r="6319" spans="1:1" x14ac:dyDescent="0.25">
      <c r="A6319" s="7"/>
    </row>
    <row r="6320" spans="1:1" x14ac:dyDescent="0.25">
      <c r="A6320" s="7"/>
    </row>
    <row r="6321" spans="1:1" x14ac:dyDescent="0.25">
      <c r="A6321" s="7"/>
    </row>
    <row r="6322" spans="1:1" x14ac:dyDescent="0.25">
      <c r="A6322" s="7"/>
    </row>
    <row r="6323" spans="1:1" x14ac:dyDescent="0.25">
      <c r="A6323" s="7"/>
    </row>
    <row r="6324" spans="1:1" x14ac:dyDescent="0.25">
      <c r="A6324" s="7"/>
    </row>
    <row r="6325" spans="1:1" x14ac:dyDescent="0.25">
      <c r="A6325" s="7"/>
    </row>
    <row r="6326" spans="1:1" x14ac:dyDescent="0.25">
      <c r="A6326" s="7"/>
    </row>
    <row r="6327" spans="1:1" x14ac:dyDescent="0.25">
      <c r="A6327" s="7"/>
    </row>
    <row r="6328" spans="1:1" x14ac:dyDescent="0.25">
      <c r="A6328" s="7"/>
    </row>
    <row r="6329" spans="1:1" x14ac:dyDescent="0.25">
      <c r="A6329" s="7"/>
    </row>
    <row r="6330" spans="1:1" x14ac:dyDescent="0.25">
      <c r="A6330" s="7"/>
    </row>
    <row r="6331" spans="1:1" x14ac:dyDescent="0.25">
      <c r="A6331" s="7"/>
    </row>
    <row r="6332" spans="1:1" x14ac:dyDescent="0.25">
      <c r="A6332" s="7"/>
    </row>
    <row r="6333" spans="1:1" x14ac:dyDescent="0.25">
      <c r="A6333" s="7"/>
    </row>
    <row r="6334" spans="1:1" x14ac:dyDescent="0.25">
      <c r="A6334" s="7"/>
    </row>
    <row r="6335" spans="1:1" x14ac:dyDescent="0.25">
      <c r="A6335" s="7"/>
    </row>
    <row r="6336" spans="1:1" x14ac:dyDescent="0.25">
      <c r="A6336" s="7"/>
    </row>
    <row r="6337" spans="1:1" x14ac:dyDescent="0.25">
      <c r="A6337" s="7"/>
    </row>
    <row r="6338" spans="1:1" x14ac:dyDescent="0.25">
      <c r="A6338" s="7"/>
    </row>
    <row r="6339" spans="1:1" x14ac:dyDescent="0.25">
      <c r="A6339" s="7"/>
    </row>
    <row r="6340" spans="1:1" x14ac:dyDescent="0.25">
      <c r="A6340" s="7"/>
    </row>
    <row r="6341" spans="1:1" x14ac:dyDescent="0.25">
      <c r="A6341" s="7"/>
    </row>
    <row r="6342" spans="1:1" x14ac:dyDescent="0.25">
      <c r="A6342" s="7"/>
    </row>
    <row r="6343" spans="1:1" x14ac:dyDescent="0.25">
      <c r="A6343" s="7"/>
    </row>
    <row r="6344" spans="1:1" x14ac:dyDescent="0.25">
      <c r="A6344" s="7"/>
    </row>
    <row r="6345" spans="1:1" x14ac:dyDescent="0.25">
      <c r="A6345" s="7"/>
    </row>
    <row r="6346" spans="1:1" x14ac:dyDescent="0.25">
      <c r="A6346" s="7"/>
    </row>
    <row r="6347" spans="1:1" x14ac:dyDescent="0.25">
      <c r="A6347" s="7"/>
    </row>
    <row r="6348" spans="1:1" x14ac:dyDescent="0.25">
      <c r="A6348" s="7"/>
    </row>
    <row r="6349" spans="1:1" x14ac:dyDescent="0.25">
      <c r="A6349" s="7"/>
    </row>
    <row r="6350" spans="1:1" x14ac:dyDescent="0.25">
      <c r="A6350" s="7"/>
    </row>
    <row r="6351" spans="1:1" x14ac:dyDescent="0.25">
      <c r="A6351" s="7"/>
    </row>
    <row r="6352" spans="1:1" x14ac:dyDescent="0.25">
      <c r="A6352" s="7"/>
    </row>
    <row r="6353" spans="1:1" x14ac:dyDescent="0.25">
      <c r="A6353" s="7"/>
    </row>
    <row r="6354" spans="1:1" x14ac:dyDescent="0.25">
      <c r="A6354" s="7"/>
    </row>
    <row r="6355" spans="1:1" x14ac:dyDescent="0.25">
      <c r="A6355" s="7"/>
    </row>
    <row r="6356" spans="1:1" x14ac:dyDescent="0.25">
      <c r="A6356" s="7"/>
    </row>
    <row r="6357" spans="1:1" x14ac:dyDescent="0.25">
      <c r="A6357" s="7"/>
    </row>
    <row r="6358" spans="1:1" x14ac:dyDescent="0.25">
      <c r="A6358" s="7"/>
    </row>
    <row r="6359" spans="1:1" x14ac:dyDescent="0.25">
      <c r="A6359" s="7"/>
    </row>
    <row r="6360" spans="1:1" x14ac:dyDescent="0.25">
      <c r="A6360" s="7"/>
    </row>
    <row r="6361" spans="1:1" x14ac:dyDescent="0.25">
      <c r="A6361" s="7"/>
    </row>
    <row r="6362" spans="1:1" x14ac:dyDescent="0.25">
      <c r="A6362" s="7"/>
    </row>
    <row r="6363" spans="1:1" x14ac:dyDescent="0.25">
      <c r="A6363" s="7"/>
    </row>
    <row r="6364" spans="1:1" x14ac:dyDescent="0.25">
      <c r="A6364" s="7"/>
    </row>
    <row r="6365" spans="1:1" x14ac:dyDescent="0.25">
      <c r="A6365" s="7"/>
    </row>
    <row r="6366" spans="1:1" x14ac:dyDescent="0.25">
      <c r="A6366" s="7"/>
    </row>
    <row r="6367" spans="1:1" x14ac:dyDescent="0.25">
      <c r="A6367" s="7"/>
    </row>
    <row r="6368" spans="1:1" x14ac:dyDescent="0.25">
      <c r="A6368" s="7"/>
    </row>
    <row r="6369" spans="1:1" x14ac:dyDescent="0.25">
      <c r="A6369" s="7"/>
    </row>
    <row r="6370" spans="1:1" x14ac:dyDescent="0.25">
      <c r="A6370" s="7"/>
    </row>
    <row r="6371" spans="1:1" x14ac:dyDescent="0.25">
      <c r="A6371" s="7"/>
    </row>
    <row r="6372" spans="1:1" x14ac:dyDescent="0.25">
      <c r="A6372" s="7"/>
    </row>
    <row r="6373" spans="1:1" x14ac:dyDescent="0.25">
      <c r="A6373" s="7"/>
    </row>
    <row r="6374" spans="1:1" x14ac:dyDescent="0.25">
      <c r="A6374" s="7"/>
    </row>
    <row r="6375" spans="1:1" x14ac:dyDescent="0.25">
      <c r="A6375" s="7"/>
    </row>
    <row r="6376" spans="1:1" x14ac:dyDescent="0.25">
      <c r="A6376" s="7"/>
    </row>
    <row r="6377" spans="1:1" x14ac:dyDescent="0.25">
      <c r="A6377" s="7"/>
    </row>
    <row r="6378" spans="1:1" x14ac:dyDescent="0.25">
      <c r="A6378" s="7"/>
    </row>
    <row r="6379" spans="1:1" x14ac:dyDescent="0.25">
      <c r="A6379" s="7"/>
    </row>
    <row r="6380" spans="1:1" x14ac:dyDescent="0.25">
      <c r="A6380" s="7"/>
    </row>
    <row r="6381" spans="1:1" x14ac:dyDescent="0.25">
      <c r="A6381" s="7"/>
    </row>
    <row r="6382" spans="1:1" x14ac:dyDescent="0.25">
      <c r="A6382" s="7"/>
    </row>
    <row r="6383" spans="1:1" x14ac:dyDescent="0.25">
      <c r="A6383" s="7"/>
    </row>
    <row r="6384" spans="1:1" x14ac:dyDescent="0.25">
      <c r="A6384" s="7"/>
    </row>
    <row r="6385" spans="1:1" x14ac:dyDescent="0.25">
      <c r="A6385" s="7"/>
    </row>
    <row r="6386" spans="1:1" x14ac:dyDescent="0.25">
      <c r="A6386" s="7"/>
    </row>
    <row r="6387" spans="1:1" x14ac:dyDescent="0.25">
      <c r="A6387" s="7"/>
    </row>
    <row r="6388" spans="1:1" x14ac:dyDescent="0.25">
      <c r="A6388" s="7"/>
    </row>
    <row r="6389" spans="1:1" x14ac:dyDescent="0.25">
      <c r="A6389" s="7"/>
    </row>
    <row r="6390" spans="1:1" x14ac:dyDescent="0.25">
      <c r="A6390" s="7"/>
    </row>
    <row r="6391" spans="1:1" x14ac:dyDescent="0.25">
      <c r="A6391" s="7"/>
    </row>
    <row r="6392" spans="1:1" x14ac:dyDescent="0.25">
      <c r="A6392" s="7"/>
    </row>
    <row r="6393" spans="1:1" x14ac:dyDescent="0.25">
      <c r="A6393" s="7"/>
    </row>
    <row r="6394" spans="1:1" x14ac:dyDescent="0.25">
      <c r="A6394" s="7"/>
    </row>
    <row r="6395" spans="1:1" x14ac:dyDescent="0.25">
      <c r="A6395" s="7"/>
    </row>
    <row r="6396" spans="1:1" x14ac:dyDescent="0.25">
      <c r="A6396" s="7"/>
    </row>
    <row r="6397" spans="1:1" x14ac:dyDescent="0.25">
      <c r="A6397" s="7"/>
    </row>
    <row r="6398" spans="1:1" x14ac:dyDescent="0.25">
      <c r="A6398" s="7"/>
    </row>
    <row r="6399" spans="1:1" x14ac:dyDescent="0.25">
      <c r="A6399" s="7"/>
    </row>
    <row r="6400" spans="1:1" x14ac:dyDescent="0.25">
      <c r="A6400" s="7"/>
    </row>
    <row r="6401" spans="1:1" x14ac:dyDescent="0.25">
      <c r="A6401" s="7"/>
    </row>
    <row r="6402" spans="1:1" x14ac:dyDescent="0.25">
      <c r="A6402" s="7"/>
    </row>
    <row r="6403" spans="1:1" x14ac:dyDescent="0.25">
      <c r="A6403" s="7"/>
    </row>
    <row r="6404" spans="1:1" x14ac:dyDescent="0.25">
      <c r="A6404" s="7"/>
    </row>
    <row r="6405" spans="1:1" x14ac:dyDescent="0.25">
      <c r="A6405" s="7"/>
    </row>
    <row r="6406" spans="1:1" x14ac:dyDescent="0.25">
      <c r="A6406" s="7"/>
    </row>
    <row r="6407" spans="1:1" x14ac:dyDescent="0.25">
      <c r="A6407" s="7"/>
    </row>
    <row r="6408" spans="1:1" x14ac:dyDescent="0.25">
      <c r="A6408" s="7"/>
    </row>
    <row r="6409" spans="1:1" x14ac:dyDescent="0.25">
      <c r="A6409" s="7"/>
    </row>
    <row r="6410" spans="1:1" x14ac:dyDescent="0.25">
      <c r="A6410" s="7"/>
    </row>
    <row r="6411" spans="1:1" x14ac:dyDescent="0.25">
      <c r="A6411" s="7"/>
    </row>
    <row r="6412" spans="1:1" x14ac:dyDescent="0.25">
      <c r="A6412" s="7"/>
    </row>
    <row r="6413" spans="1:1" x14ac:dyDescent="0.25">
      <c r="A6413" s="7"/>
    </row>
    <row r="6414" spans="1:1" x14ac:dyDescent="0.25">
      <c r="A6414" s="7"/>
    </row>
    <row r="6415" spans="1:1" x14ac:dyDescent="0.25">
      <c r="A6415" s="7"/>
    </row>
    <row r="6416" spans="1:1" x14ac:dyDescent="0.25">
      <c r="A6416" s="7"/>
    </row>
    <row r="6417" spans="1:1" x14ac:dyDescent="0.25">
      <c r="A6417" s="7"/>
    </row>
    <row r="6418" spans="1:1" x14ac:dyDescent="0.25">
      <c r="A6418" s="7"/>
    </row>
    <row r="6419" spans="1:1" x14ac:dyDescent="0.25">
      <c r="A6419" s="7"/>
    </row>
    <row r="6420" spans="1:1" x14ac:dyDescent="0.25">
      <c r="A6420" s="7"/>
    </row>
    <row r="6421" spans="1:1" x14ac:dyDescent="0.25">
      <c r="A6421" s="7"/>
    </row>
    <row r="6422" spans="1:1" x14ac:dyDescent="0.25">
      <c r="A6422" s="7"/>
    </row>
    <row r="6423" spans="1:1" x14ac:dyDescent="0.25">
      <c r="A6423" s="7"/>
    </row>
    <row r="6424" spans="1:1" x14ac:dyDescent="0.25">
      <c r="A6424" s="7"/>
    </row>
    <row r="6425" spans="1:1" x14ac:dyDescent="0.25">
      <c r="A6425" s="7"/>
    </row>
    <row r="6426" spans="1:1" x14ac:dyDescent="0.25">
      <c r="A6426" s="7"/>
    </row>
    <row r="6427" spans="1:1" x14ac:dyDescent="0.25">
      <c r="A6427" s="7"/>
    </row>
    <row r="6428" spans="1:1" x14ac:dyDescent="0.25">
      <c r="A6428" s="7"/>
    </row>
    <row r="6429" spans="1:1" x14ac:dyDescent="0.25">
      <c r="A6429" s="7"/>
    </row>
    <row r="6430" spans="1:1" x14ac:dyDescent="0.25">
      <c r="A6430" s="7"/>
    </row>
    <row r="6431" spans="1:1" x14ac:dyDescent="0.25">
      <c r="A6431" s="7"/>
    </row>
    <row r="6432" spans="1:1" x14ac:dyDescent="0.25">
      <c r="A6432" s="7"/>
    </row>
    <row r="6433" spans="1:1" x14ac:dyDescent="0.25">
      <c r="A6433" s="7"/>
    </row>
    <row r="6434" spans="1:1" x14ac:dyDescent="0.25">
      <c r="A6434" s="7"/>
    </row>
    <row r="6435" spans="1:1" x14ac:dyDescent="0.25">
      <c r="A6435" s="7"/>
    </row>
    <row r="6436" spans="1:1" x14ac:dyDescent="0.25">
      <c r="A6436" s="7"/>
    </row>
    <row r="6437" spans="1:1" x14ac:dyDescent="0.25">
      <c r="A6437" s="7"/>
    </row>
    <row r="6438" spans="1:1" x14ac:dyDescent="0.25">
      <c r="A6438" s="7"/>
    </row>
    <row r="6439" spans="1:1" x14ac:dyDescent="0.25">
      <c r="A6439" s="7"/>
    </row>
    <row r="6440" spans="1:1" x14ac:dyDescent="0.25">
      <c r="A6440" s="7"/>
    </row>
    <row r="6441" spans="1:1" x14ac:dyDescent="0.25">
      <c r="A6441" s="7"/>
    </row>
    <row r="6442" spans="1:1" x14ac:dyDescent="0.25">
      <c r="A6442" s="7"/>
    </row>
    <row r="6443" spans="1:1" x14ac:dyDescent="0.25">
      <c r="A6443" s="7"/>
    </row>
    <row r="6444" spans="1:1" x14ac:dyDescent="0.25">
      <c r="A6444" s="7"/>
    </row>
    <row r="6445" spans="1:1" x14ac:dyDescent="0.25">
      <c r="A6445" s="7"/>
    </row>
    <row r="6446" spans="1:1" x14ac:dyDescent="0.25">
      <c r="A6446" s="7"/>
    </row>
    <row r="6447" spans="1:1" x14ac:dyDescent="0.25">
      <c r="A6447" s="7"/>
    </row>
    <row r="6448" spans="1:1" x14ac:dyDescent="0.25">
      <c r="A6448" s="7"/>
    </row>
    <row r="6449" spans="1:1" x14ac:dyDescent="0.25">
      <c r="A6449" s="7"/>
    </row>
    <row r="6450" spans="1:1" x14ac:dyDescent="0.25">
      <c r="A6450" s="7"/>
    </row>
    <row r="6451" spans="1:1" x14ac:dyDescent="0.25">
      <c r="A6451" s="7"/>
    </row>
    <row r="6452" spans="1:1" x14ac:dyDescent="0.25">
      <c r="A6452" s="7"/>
    </row>
    <row r="6453" spans="1:1" x14ac:dyDescent="0.25">
      <c r="A6453" s="7"/>
    </row>
    <row r="6454" spans="1:1" x14ac:dyDescent="0.25">
      <c r="A6454" s="7"/>
    </row>
    <row r="6455" spans="1:1" x14ac:dyDescent="0.25">
      <c r="A6455" s="7"/>
    </row>
    <row r="6456" spans="1:1" x14ac:dyDescent="0.25">
      <c r="A6456" s="7"/>
    </row>
    <row r="6457" spans="1:1" x14ac:dyDescent="0.25">
      <c r="A6457" s="7"/>
    </row>
    <row r="6458" spans="1:1" x14ac:dyDescent="0.25">
      <c r="A6458" s="7"/>
    </row>
    <row r="6459" spans="1:1" x14ac:dyDescent="0.25">
      <c r="A6459" s="7"/>
    </row>
    <row r="6460" spans="1:1" x14ac:dyDescent="0.25">
      <c r="A6460" s="7"/>
    </row>
    <row r="6461" spans="1:1" x14ac:dyDescent="0.25">
      <c r="A6461" s="7"/>
    </row>
    <row r="6462" spans="1:1" x14ac:dyDescent="0.25">
      <c r="A6462" s="7"/>
    </row>
    <row r="6463" spans="1:1" x14ac:dyDescent="0.25">
      <c r="A6463" s="7"/>
    </row>
    <row r="6464" spans="1:1" x14ac:dyDescent="0.25">
      <c r="A6464" s="7"/>
    </row>
    <row r="6465" spans="1:1" x14ac:dyDescent="0.25">
      <c r="A6465" s="7"/>
    </row>
    <row r="6466" spans="1:1" x14ac:dyDescent="0.25">
      <c r="A6466" s="7"/>
    </row>
    <row r="6467" spans="1:1" x14ac:dyDescent="0.25">
      <c r="A6467" s="7"/>
    </row>
    <row r="6468" spans="1:1" x14ac:dyDescent="0.25">
      <c r="A6468" s="7"/>
    </row>
    <row r="6469" spans="1:1" x14ac:dyDescent="0.25">
      <c r="A6469" s="7"/>
    </row>
    <row r="6470" spans="1:1" x14ac:dyDescent="0.25">
      <c r="A6470" s="7"/>
    </row>
    <row r="6471" spans="1:1" x14ac:dyDescent="0.25">
      <c r="A6471" s="7"/>
    </row>
    <row r="6472" spans="1:1" x14ac:dyDescent="0.25">
      <c r="A6472" s="7"/>
    </row>
    <row r="6473" spans="1:1" x14ac:dyDescent="0.25">
      <c r="A6473" s="7"/>
    </row>
    <row r="6474" spans="1:1" x14ac:dyDescent="0.25">
      <c r="A6474" s="7"/>
    </row>
    <row r="6475" spans="1:1" x14ac:dyDescent="0.25">
      <c r="A6475" s="7"/>
    </row>
    <row r="6476" spans="1:1" x14ac:dyDescent="0.25">
      <c r="A6476" s="7"/>
    </row>
    <row r="6477" spans="1:1" x14ac:dyDescent="0.25">
      <c r="A6477" s="7"/>
    </row>
    <row r="6478" spans="1:1" x14ac:dyDescent="0.25">
      <c r="A6478" s="7"/>
    </row>
    <row r="6479" spans="1:1" x14ac:dyDescent="0.25">
      <c r="A6479" s="7"/>
    </row>
    <row r="6480" spans="1:1" x14ac:dyDescent="0.25">
      <c r="A6480" s="7"/>
    </row>
    <row r="6481" spans="1:1" x14ac:dyDescent="0.25">
      <c r="A6481" s="7"/>
    </row>
    <row r="6482" spans="1:1" x14ac:dyDescent="0.25">
      <c r="A6482" s="7"/>
    </row>
    <row r="6483" spans="1:1" x14ac:dyDescent="0.25">
      <c r="A6483" s="7"/>
    </row>
    <row r="6484" spans="1:1" x14ac:dyDescent="0.25">
      <c r="A6484" s="7"/>
    </row>
    <row r="6485" spans="1:1" x14ac:dyDescent="0.25">
      <c r="A6485" s="7"/>
    </row>
    <row r="6486" spans="1:1" x14ac:dyDescent="0.25">
      <c r="A6486" s="7"/>
    </row>
    <row r="6487" spans="1:1" x14ac:dyDescent="0.25">
      <c r="A6487" s="7"/>
    </row>
    <row r="6488" spans="1:1" x14ac:dyDescent="0.25">
      <c r="A6488" s="7"/>
    </row>
    <row r="6489" spans="1:1" x14ac:dyDescent="0.25">
      <c r="A6489" s="7"/>
    </row>
    <row r="6490" spans="1:1" x14ac:dyDescent="0.25">
      <c r="A6490" s="7"/>
    </row>
    <row r="6491" spans="1:1" x14ac:dyDescent="0.25">
      <c r="A6491" s="7"/>
    </row>
    <row r="6492" spans="1:1" x14ac:dyDescent="0.25">
      <c r="A6492" s="7"/>
    </row>
    <row r="6493" spans="1:1" x14ac:dyDescent="0.25">
      <c r="A6493" s="7"/>
    </row>
    <row r="6494" spans="1:1" x14ac:dyDescent="0.25">
      <c r="A6494" s="7"/>
    </row>
    <row r="6495" spans="1:1" x14ac:dyDescent="0.25">
      <c r="A6495" s="7"/>
    </row>
    <row r="6496" spans="1:1" x14ac:dyDescent="0.25">
      <c r="A6496" s="7"/>
    </row>
    <row r="6497" spans="1:1" x14ac:dyDescent="0.25">
      <c r="A6497" s="7"/>
    </row>
    <row r="6498" spans="1:1" x14ac:dyDescent="0.25">
      <c r="A6498" s="7"/>
    </row>
    <row r="6499" spans="1:1" x14ac:dyDescent="0.25">
      <c r="A6499" s="7"/>
    </row>
    <row r="6500" spans="1:1" x14ac:dyDescent="0.25">
      <c r="A6500" s="7"/>
    </row>
    <row r="6501" spans="1:1" x14ac:dyDescent="0.25">
      <c r="A6501" s="7"/>
    </row>
    <row r="6502" spans="1:1" x14ac:dyDescent="0.25">
      <c r="A6502" s="7"/>
    </row>
    <row r="6503" spans="1:1" x14ac:dyDescent="0.25">
      <c r="A6503" s="7"/>
    </row>
    <row r="6504" spans="1:1" x14ac:dyDescent="0.25">
      <c r="A6504" s="7"/>
    </row>
    <row r="6505" spans="1:1" x14ac:dyDescent="0.25">
      <c r="A6505" s="7"/>
    </row>
    <row r="6506" spans="1:1" x14ac:dyDescent="0.25">
      <c r="A6506" s="7"/>
    </row>
    <row r="6507" spans="1:1" x14ac:dyDescent="0.25">
      <c r="A6507" s="7"/>
    </row>
    <row r="6508" spans="1:1" x14ac:dyDescent="0.25">
      <c r="A6508" s="7"/>
    </row>
    <row r="6509" spans="1:1" x14ac:dyDescent="0.25">
      <c r="A6509" s="7"/>
    </row>
    <row r="6510" spans="1:1" x14ac:dyDescent="0.25">
      <c r="A6510" s="7"/>
    </row>
    <row r="6511" spans="1:1" x14ac:dyDescent="0.25">
      <c r="A6511" s="7"/>
    </row>
    <row r="6512" spans="1:1" x14ac:dyDescent="0.25">
      <c r="A6512" s="7"/>
    </row>
    <row r="6513" spans="1:1" x14ac:dyDescent="0.25">
      <c r="A6513" s="7"/>
    </row>
    <row r="6514" spans="1:1" x14ac:dyDescent="0.25">
      <c r="A6514" s="7"/>
    </row>
    <row r="6515" spans="1:1" x14ac:dyDescent="0.25">
      <c r="A6515" s="7"/>
    </row>
    <row r="6516" spans="1:1" x14ac:dyDescent="0.25">
      <c r="A6516" s="7"/>
    </row>
    <row r="6517" spans="1:1" x14ac:dyDescent="0.25">
      <c r="A6517" s="7"/>
    </row>
    <row r="6518" spans="1:1" x14ac:dyDescent="0.25">
      <c r="A6518" s="7"/>
    </row>
    <row r="6519" spans="1:1" x14ac:dyDescent="0.25">
      <c r="A6519" s="7"/>
    </row>
    <row r="6520" spans="1:1" x14ac:dyDescent="0.25">
      <c r="A6520" s="7"/>
    </row>
    <row r="6521" spans="1:1" x14ac:dyDescent="0.25">
      <c r="A6521" s="7"/>
    </row>
    <row r="6522" spans="1:1" x14ac:dyDescent="0.25">
      <c r="A6522" s="7"/>
    </row>
    <row r="6523" spans="1:1" x14ac:dyDescent="0.25">
      <c r="A6523" s="7"/>
    </row>
    <row r="6524" spans="1:1" x14ac:dyDescent="0.25">
      <c r="A6524" s="7"/>
    </row>
    <row r="6525" spans="1:1" x14ac:dyDescent="0.25">
      <c r="A6525" s="7"/>
    </row>
    <row r="6526" spans="1:1" x14ac:dyDescent="0.25">
      <c r="A6526" s="7"/>
    </row>
    <row r="6527" spans="1:1" x14ac:dyDescent="0.25">
      <c r="A6527" s="7"/>
    </row>
    <row r="6528" spans="1:1" x14ac:dyDescent="0.25">
      <c r="A6528" s="7"/>
    </row>
    <row r="6529" spans="1:1" x14ac:dyDescent="0.25">
      <c r="A6529" s="7"/>
    </row>
    <row r="6530" spans="1:1" x14ac:dyDescent="0.25">
      <c r="A6530" s="7"/>
    </row>
    <row r="6531" spans="1:1" x14ac:dyDescent="0.25">
      <c r="A6531" s="7"/>
    </row>
    <row r="6532" spans="1:1" x14ac:dyDescent="0.25">
      <c r="A6532" s="7"/>
    </row>
    <row r="6533" spans="1:1" x14ac:dyDescent="0.25">
      <c r="A6533" s="7"/>
    </row>
    <row r="6534" spans="1:1" x14ac:dyDescent="0.25">
      <c r="A6534" s="7"/>
    </row>
    <row r="6535" spans="1:1" x14ac:dyDescent="0.25">
      <c r="A6535" s="7"/>
    </row>
    <row r="6536" spans="1:1" x14ac:dyDescent="0.25">
      <c r="A6536" s="7"/>
    </row>
    <row r="6537" spans="1:1" x14ac:dyDescent="0.25">
      <c r="A6537" s="7"/>
    </row>
    <row r="6538" spans="1:1" x14ac:dyDescent="0.25">
      <c r="A6538" s="7"/>
    </row>
    <row r="6539" spans="1:1" x14ac:dyDescent="0.25">
      <c r="A6539" s="7"/>
    </row>
    <row r="6540" spans="1:1" x14ac:dyDescent="0.25">
      <c r="A6540" s="7"/>
    </row>
    <row r="6541" spans="1:1" x14ac:dyDescent="0.25">
      <c r="A6541" s="7"/>
    </row>
    <row r="6542" spans="1:1" x14ac:dyDescent="0.25">
      <c r="A6542" s="7"/>
    </row>
    <row r="6543" spans="1:1" x14ac:dyDescent="0.25">
      <c r="A6543" s="7"/>
    </row>
    <row r="6544" spans="1:1" x14ac:dyDescent="0.25">
      <c r="A6544" s="7"/>
    </row>
    <row r="6545" spans="1:1" x14ac:dyDescent="0.25">
      <c r="A6545" s="7"/>
    </row>
    <row r="6546" spans="1:1" x14ac:dyDescent="0.25">
      <c r="A6546" s="7"/>
    </row>
    <row r="6547" spans="1:1" x14ac:dyDescent="0.25">
      <c r="A6547" s="7"/>
    </row>
    <row r="6548" spans="1:1" x14ac:dyDescent="0.25">
      <c r="A6548" s="7"/>
    </row>
    <row r="6549" spans="1:1" x14ac:dyDescent="0.25">
      <c r="A6549" s="7"/>
    </row>
    <row r="6550" spans="1:1" x14ac:dyDescent="0.25">
      <c r="A6550" s="7"/>
    </row>
    <row r="6551" spans="1:1" x14ac:dyDescent="0.25">
      <c r="A6551" s="7"/>
    </row>
    <row r="6552" spans="1:1" x14ac:dyDescent="0.25">
      <c r="A6552" s="7"/>
    </row>
    <row r="6553" spans="1:1" x14ac:dyDescent="0.25">
      <c r="A6553" s="7"/>
    </row>
    <row r="6554" spans="1:1" x14ac:dyDescent="0.25">
      <c r="A6554" s="7"/>
    </row>
    <row r="6555" spans="1:1" x14ac:dyDescent="0.25">
      <c r="A6555" s="7"/>
    </row>
    <row r="6556" spans="1:1" x14ac:dyDescent="0.25">
      <c r="A6556" s="7"/>
    </row>
    <row r="6557" spans="1:1" x14ac:dyDescent="0.25">
      <c r="A6557" s="7"/>
    </row>
    <row r="6558" spans="1:1" x14ac:dyDescent="0.25">
      <c r="A6558" s="7"/>
    </row>
    <row r="6559" spans="1:1" x14ac:dyDescent="0.25">
      <c r="A6559" s="7"/>
    </row>
    <row r="6560" spans="1:1" x14ac:dyDescent="0.25">
      <c r="A6560" s="7"/>
    </row>
    <row r="6561" spans="1:1" x14ac:dyDescent="0.25">
      <c r="A6561" s="7"/>
    </row>
    <row r="6562" spans="1:1" x14ac:dyDescent="0.25">
      <c r="A6562" s="7"/>
    </row>
    <row r="6563" spans="1:1" x14ac:dyDescent="0.25">
      <c r="A6563" s="7"/>
    </row>
    <row r="6564" spans="1:1" x14ac:dyDescent="0.25">
      <c r="A6564" s="7"/>
    </row>
    <row r="6565" spans="1:1" x14ac:dyDescent="0.25">
      <c r="A6565" s="7"/>
    </row>
    <row r="6566" spans="1:1" x14ac:dyDescent="0.25">
      <c r="A6566" s="7"/>
    </row>
    <row r="6567" spans="1:1" x14ac:dyDescent="0.25">
      <c r="A6567" s="7"/>
    </row>
    <row r="6568" spans="1:1" x14ac:dyDescent="0.25">
      <c r="A6568" s="7"/>
    </row>
    <row r="6569" spans="1:1" x14ac:dyDescent="0.25">
      <c r="A6569" s="7"/>
    </row>
    <row r="6570" spans="1:1" x14ac:dyDescent="0.25">
      <c r="A6570" s="7"/>
    </row>
    <row r="6571" spans="1:1" x14ac:dyDescent="0.25">
      <c r="A6571" s="7"/>
    </row>
    <row r="6572" spans="1:1" x14ac:dyDescent="0.25">
      <c r="A6572" s="7"/>
    </row>
    <row r="6573" spans="1:1" x14ac:dyDescent="0.25">
      <c r="A6573" s="7"/>
    </row>
    <row r="6574" spans="1:1" x14ac:dyDescent="0.25">
      <c r="A6574" s="7"/>
    </row>
    <row r="6575" spans="1:1" x14ac:dyDescent="0.25">
      <c r="A6575" s="7"/>
    </row>
    <row r="6576" spans="1:1" x14ac:dyDescent="0.25">
      <c r="A6576" s="7"/>
    </row>
    <row r="6577" spans="1:1" x14ac:dyDescent="0.25">
      <c r="A6577" s="7"/>
    </row>
    <row r="6578" spans="1:1" x14ac:dyDescent="0.25">
      <c r="A6578" s="7"/>
    </row>
    <row r="6579" spans="1:1" x14ac:dyDescent="0.25">
      <c r="A6579" s="7"/>
    </row>
    <row r="6580" spans="1:1" x14ac:dyDescent="0.25">
      <c r="A6580" s="7"/>
    </row>
    <row r="6581" spans="1:1" x14ac:dyDescent="0.25">
      <c r="A6581" s="7"/>
    </row>
    <row r="6582" spans="1:1" x14ac:dyDescent="0.25">
      <c r="A6582" s="7"/>
    </row>
    <row r="6583" spans="1:1" x14ac:dyDescent="0.25">
      <c r="A6583" s="7"/>
    </row>
    <row r="6584" spans="1:1" x14ac:dyDescent="0.25">
      <c r="A6584" s="7"/>
    </row>
    <row r="6585" spans="1:1" x14ac:dyDescent="0.25">
      <c r="A6585" s="7"/>
    </row>
    <row r="6586" spans="1:1" x14ac:dyDescent="0.25">
      <c r="A6586" s="7"/>
    </row>
    <row r="6587" spans="1:1" x14ac:dyDescent="0.25">
      <c r="A6587" s="7"/>
    </row>
    <row r="6588" spans="1:1" x14ac:dyDescent="0.25">
      <c r="A6588" s="7"/>
    </row>
    <row r="6589" spans="1:1" x14ac:dyDescent="0.25">
      <c r="A6589" s="7"/>
    </row>
    <row r="6590" spans="1:1" x14ac:dyDescent="0.25">
      <c r="A6590" s="7"/>
    </row>
    <row r="6591" spans="1:1" x14ac:dyDescent="0.25">
      <c r="A6591" s="7"/>
    </row>
    <row r="6592" spans="1:1" x14ac:dyDescent="0.25">
      <c r="A6592" s="7"/>
    </row>
    <row r="6593" spans="1:1" x14ac:dyDescent="0.25">
      <c r="A6593" s="7"/>
    </row>
    <row r="6594" spans="1:1" x14ac:dyDescent="0.25">
      <c r="A6594" s="7"/>
    </row>
    <row r="6595" spans="1:1" x14ac:dyDescent="0.25">
      <c r="A6595" s="7"/>
    </row>
    <row r="6596" spans="1:1" x14ac:dyDescent="0.25">
      <c r="A6596" s="7"/>
    </row>
    <row r="6597" spans="1:1" x14ac:dyDescent="0.25">
      <c r="A6597" s="7"/>
    </row>
    <row r="6598" spans="1:1" x14ac:dyDescent="0.25">
      <c r="A6598" s="7"/>
    </row>
    <row r="6599" spans="1:1" x14ac:dyDescent="0.25">
      <c r="A6599" s="7"/>
    </row>
    <row r="6600" spans="1:1" x14ac:dyDescent="0.25">
      <c r="A6600" s="7"/>
    </row>
    <row r="6601" spans="1:1" x14ac:dyDescent="0.25">
      <c r="A6601" s="7"/>
    </row>
    <row r="6602" spans="1:1" x14ac:dyDescent="0.25">
      <c r="A6602" s="7"/>
    </row>
    <row r="6603" spans="1:1" x14ac:dyDescent="0.25">
      <c r="A6603" s="7"/>
    </row>
    <row r="6604" spans="1:1" x14ac:dyDescent="0.25">
      <c r="A6604" s="7"/>
    </row>
    <row r="6605" spans="1:1" x14ac:dyDescent="0.25">
      <c r="A6605" s="7"/>
    </row>
    <row r="6606" spans="1:1" x14ac:dyDescent="0.25">
      <c r="A6606" s="7"/>
    </row>
    <row r="6607" spans="1:1" x14ac:dyDescent="0.25">
      <c r="A6607" s="7"/>
    </row>
    <row r="6608" spans="1:1" x14ac:dyDescent="0.25">
      <c r="A6608" s="7"/>
    </row>
    <row r="6609" spans="1:1" x14ac:dyDescent="0.25">
      <c r="A6609" s="7"/>
    </row>
    <row r="6610" spans="1:1" x14ac:dyDescent="0.25">
      <c r="A6610" s="7"/>
    </row>
    <row r="6611" spans="1:1" x14ac:dyDescent="0.25">
      <c r="A6611" s="7"/>
    </row>
    <row r="6612" spans="1:1" x14ac:dyDescent="0.25">
      <c r="A6612" s="7"/>
    </row>
    <row r="6613" spans="1:1" x14ac:dyDescent="0.25">
      <c r="A6613" s="7"/>
    </row>
    <row r="6614" spans="1:1" x14ac:dyDescent="0.25">
      <c r="A6614" s="7"/>
    </row>
    <row r="6615" spans="1:1" x14ac:dyDescent="0.25">
      <c r="A6615" s="7"/>
    </row>
    <row r="6616" spans="1:1" x14ac:dyDescent="0.25">
      <c r="A6616" s="7"/>
    </row>
    <row r="6617" spans="1:1" x14ac:dyDescent="0.25">
      <c r="A6617" s="7"/>
    </row>
    <row r="6618" spans="1:1" x14ac:dyDescent="0.25">
      <c r="A6618" s="7"/>
    </row>
    <row r="6619" spans="1:1" x14ac:dyDescent="0.25">
      <c r="A6619" s="7"/>
    </row>
    <row r="6620" spans="1:1" x14ac:dyDescent="0.25">
      <c r="A6620" s="7"/>
    </row>
    <row r="6621" spans="1:1" x14ac:dyDescent="0.25">
      <c r="A6621" s="7"/>
    </row>
    <row r="6622" spans="1:1" x14ac:dyDescent="0.25">
      <c r="A6622" s="7"/>
    </row>
    <row r="6623" spans="1:1" x14ac:dyDescent="0.25">
      <c r="A6623" s="7"/>
    </row>
    <row r="6624" spans="1:1" x14ac:dyDescent="0.25">
      <c r="A6624" s="7"/>
    </row>
    <row r="6625" spans="1:1" x14ac:dyDescent="0.25">
      <c r="A6625" s="7"/>
    </row>
    <row r="6626" spans="1:1" x14ac:dyDescent="0.25">
      <c r="A6626" s="7"/>
    </row>
    <row r="6627" spans="1:1" x14ac:dyDescent="0.25">
      <c r="A6627" s="7"/>
    </row>
    <row r="6628" spans="1:1" x14ac:dyDescent="0.25">
      <c r="A6628" s="7"/>
    </row>
    <row r="6629" spans="1:1" x14ac:dyDescent="0.25">
      <c r="A6629" s="7"/>
    </row>
    <row r="6630" spans="1:1" x14ac:dyDescent="0.25">
      <c r="A6630" s="7"/>
    </row>
    <row r="6631" spans="1:1" x14ac:dyDescent="0.25">
      <c r="A6631" s="7"/>
    </row>
    <row r="6632" spans="1:1" x14ac:dyDescent="0.25">
      <c r="A6632" s="7"/>
    </row>
    <row r="6633" spans="1:1" x14ac:dyDescent="0.25">
      <c r="A6633" s="7"/>
    </row>
    <row r="6634" spans="1:1" x14ac:dyDescent="0.25">
      <c r="A6634" s="7"/>
    </row>
    <row r="6635" spans="1:1" x14ac:dyDescent="0.25">
      <c r="A6635" s="7"/>
    </row>
    <row r="6636" spans="1:1" x14ac:dyDescent="0.25">
      <c r="A6636" s="7"/>
    </row>
    <row r="6637" spans="1:1" x14ac:dyDescent="0.25">
      <c r="A6637" s="7"/>
    </row>
    <row r="6638" spans="1:1" x14ac:dyDescent="0.25">
      <c r="A6638" s="7"/>
    </row>
    <row r="6639" spans="1:1" x14ac:dyDescent="0.25">
      <c r="A6639" s="7"/>
    </row>
    <row r="6640" spans="1:1" x14ac:dyDescent="0.25">
      <c r="A6640" s="7"/>
    </row>
    <row r="6641" spans="1:1" x14ac:dyDescent="0.25">
      <c r="A6641" s="7"/>
    </row>
    <row r="6642" spans="1:1" x14ac:dyDescent="0.25">
      <c r="A6642" s="7"/>
    </row>
    <row r="6643" spans="1:1" x14ac:dyDescent="0.25">
      <c r="A6643" s="7"/>
    </row>
    <row r="6644" spans="1:1" x14ac:dyDescent="0.25">
      <c r="A6644" s="7"/>
    </row>
    <row r="6645" spans="1:1" x14ac:dyDescent="0.25">
      <c r="A6645" s="7"/>
    </row>
    <row r="6646" spans="1:1" x14ac:dyDescent="0.25">
      <c r="A6646" s="7"/>
    </row>
    <row r="6647" spans="1:1" x14ac:dyDescent="0.25">
      <c r="A6647" s="7"/>
    </row>
    <row r="6648" spans="1:1" x14ac:dyDescent="0.25">
      <c r="A6648" s="7"/>
    </row>
    <row r="6649" spans="1:1" x14ac:dyDescent="0.25">
      <c r="A6649" s="7"/>
    </row>
    <row r="6650" spans="1:1" x14ac:dyDescent="0.25">
      <c r="A6650" s="7"/>
    </row>
    <row r="6651" spans="1:1" x14ac:dyDescent="0.25">
      <c r="A6651" s="7"/>
    </row>
    <row r="6652" spans="1:1" x14ac:dyDescent="0.25">
      <c r="A6652" s="7"/>
    </row>
    <row r="6653" spans="1:1" x14ac:dyDescent="0.25">
      <c r="A6653" s="7"/>
    </row>
    <row r="6654" spans="1:1" x14ac:dyDescent="0.25">
      <c r="A6654" s="7"/>
    </row>
    <row r="6655" spans="1:1" x14ac:dyDescent="0.25">
      <c r="A6655" s="7"/>
    </row>
    <row r="6656" spans="1:1" x14ac:dyDescent="0.25">
      <c r="A6656" s="7"/>
    </row>
    <row r="6657" spans="1:1" x14ac:dyDescent="0.25">
      <c r="A6657" s="7"/>
    </row>
    <row r="6658" spans="1:1" x14ac:dyDescent="0.25">
      <c r="A6658" s="7"/>
    </row>
    <row r="6659" spans="1:1" x14ac:dyDescent="0.25">
      <c r="A6659" s="7"/>
    </row>
    <row r="6660" spans="1:1" x14ac:dyDescent="0.25">
      <c r="A6660" s="7"/>
    </row>
    <row r="6661" spans="1:1" x14ac:dyDescent="0.25">
      <c r="A6661" s="7"/>
    </row>
    <row r="6662" spans="1:1" x14ac:dyDescent="0.25">
      <c r="A6662" s="7"/>
    </row>
    <row r="6663" spans="1:1" x14ac:dyDescent="0.25">
      <c r="A6663" s="7"/>
    </row>
    <row r="6664" spans="1:1" x14ac:dyDescent="0.25">
      <c r="A6664" s="7"/>
    </row>
    <row r="6665" spans="1:1" x14ac:dyDescent="0.25">
      <c r="A6665" s="7"/>
    </row>
    <row r="6666" spans="1:1" x14ac:dyDescent="0.25">
      <c r="A6666" s="7"/>
    </row>
    <row r="6667" spans="1:1" x14ac:dyDescent="0.25">
      <c r="A6667" s="7"/>
    </row>
    <row r="6668" spans="1:1" x14ac:dyDescent="0.25">
      <c r="A6668" s="7"/>
    </row>
    <row r="6669" spans="1:1" x14ac:dyDescent="0.25">
      <c r="A6669" s="7"/>
    </row>
    <row r="6670" spans="1:1" x14ac:dyDescent="0.25">
      <c r="A6670" s="7"/>
    </row>
    <row r="6671" spans="1:1" x14ac:dyDescent="0.25">
      <c r="A6671" s="7"/>
    </row>
    <row r="6672" spans="1:1" x14ac:dyDescent="0.25">
      <c r="A6672" s="7"/>
    </row>
    <row r="6673" spans="1:1" x14ac:dyDescent="0.25">
      <c r="A6673" s="7"/>
    </row>
    <row r="6674" spans="1:1" x14ac:dyDescent="0.25">
      <c r="A6674" s="7"/>
    </row>
    <row r="6675" spans="1:1" x14ac:dyDescent="0.25">
      <c r="A6675" s="7"/>
    </row>
    <row r="6676" spans="1:1" x14ac:dyDescent="0.25">
      <c r="A6676" s="7"/>
    </row>
    <row r="6677" spans="1:1" x14ac:dyDescent="0.25">
      <c r="A6677" s="7"/>
    </row>
    <row r="6678" spans="1:1" x14ac:dyDescent="0.25">
      <c r="A6678" s="7"/>
    </row>
    <row r="6679" spans="1:1" x14ac:dyDescent="0.25">
      <c r="A6679" s="7"/>
    </row>
    <row r="6680" spans="1:1" x14ac:dyDescent="0.25">
      <c r="A6680" s="7"/>
    </row>
    <row r="6681" spans="1:1" x14ac:dyDescent="0.25">
      <c r="A6681" s="7"/>
    </row>
    <row r="6682" spans="1:1" x14ac:dyDescent="0.25">
      <c r="A6682" s="7"/>
    </row>
    <row r="6683" spans="1:1" x14ac:dyDescent="0.25">
      <c r="A6683" s="7"/>
    </row>
    <row r="6684" spans="1:1" x14ac:dyDescent="0.25">
      <c r="A6684" s="7"/>
    </row>
    <row r="6685" spans="1:1" x14ac:dyDescent="0.25">
      <c r="A6685" s="7"/>
    </row>
    <row r="6686" spans="1:1" x14ac:dyDescent="0.25">
      <c r="A6686" s="7"/>
    </row>
    <row r="6687" spans="1:1" x14ac:dyDescent="0.25">
      <c r="A6687" s="7"/>
    </row>
    <row r="6688" spans="1:1" x14ac:dyDescent="0.25">
      <c r="A6688" s="7"/>
    </row>
    <row r="6689" spans="1:1" x14ac:dyDescent="0.25">
      <c r="A6689" s="7"/>
    </row>
    <row r="6690" spans="1:1" x14ac:dyDescent="0.25">
      <c r="A6690" s="7"/>
    </row>
    <row r="6691" spans="1:1" x14ac:dyDescent="0.25">
      <c r="A6691" s="7"/>
    </row>
    <row r="6692" spans="1:1" x14ac:dyDescent="0.25">
      <c r="A6692" s="7"/>
    </row>
    <row r="6693" spans="1:1" x14ac:dyDescent="0.25">
      <c r="A6693" s="7"/>
    </row>
    <row r="6694" spans="1:1" x14ac:dyDescent="0.25">
      <c r="A6694" s="7"/>
    </row>
    <row r="6695" spans="1:1" x14ac:dyDescent="0.25">
      <c r="A6695" s="7"/>
    </row>
    <row r="6696" spans="1:1" x14ac:dyDescent="0.25">
      <c r="A6696" s="7"/>
    </row>
    <row r="6697" spans="1:1" x14ac:dyDescent="0.25">
      <c r="A6697" s="7"/>
    </row>
    <row r="6698" spans="1:1" x14ac:dyDescent="0.25">
      <c r="A6698" s="7"/>
    </row>
    <row r="6699" spans="1:1" x14ac:dyDescent="0.25">
      <c r="A6699" s="7"/>
    </row>
    <row r="6700" spans="1:1" x14ac:dyDescent="0.25">
      <c r="A6700" s="7"/>
    </row>
    <row r="6701" spans="1:1" x14ac:dyDescent="0.25">
      <c r="A6701" s="7"/>
    </row>
    <row r="6702" spans="1:1" x14ac:dyDescent="0.25">
      <c r="A6702" s="7"/>
    </row>
    <row r="6703" spans="1:1" x14ac:dyDescent="0.25">
      <c r="A6703" s="7"/>
    </row>
    <row r="6704" spans="1:1" x14ac:dyDescent="0.25">
      <c r="A6704" s="7"/>
    </row>
    <row r="6705" spans="1:1" x14ac:dyDescent="0.25">
      <c r="A6705" s="7"/>
    </row>
    <row r="6706" spans="1:1" x14ac:dyDescent="0.25">
      <c r="A6706" s="7"/>
    </row>
    <row r="6707" spans="1:1" x14ac:dyDescent="0.25">
      <c r="A6707" s="7"/>
    </row>
    <row r="6708" spans="1:1" x14ac:dyDescent="0.25">
      <c r="A6708" s="7"/>
    </row>
    <row r="6709" spans="1:1" x14ac:dyDescent="0.25">
      <c r="A6709" s="7"/>
    </row>
    <row r="6710" spans="1:1" x14ac:dyDescent="0.25">
      <c r="A6710" s="7"/>
    </row>
    <row r="6711" spans="1:1" x14ac:dyDescent="0.25">
      <c r="A6711" s="7"/>
    </row>
    <row r="6712" spans="1:1" x14ac:dyDescent="0.25">
      <c r="A6712" s="7"/>
    </row>
    <row r="6713" spans="1:1" x14ac:dyDescent="0.25">
      <c r="A6713" s="7"/>
    </row>
    <row r="6714" spans="1:1" x14ac:dyDescent="0.25">
      <c r="A6714" s="7"/>
    </row>
    <row r="6715" spans="1:1" x14ac:dyDescent="0.25">
      <c r="A6715" s="7"/>
    </row>
    <row r="6716" spans="1:1" x14ac:dyDescent="0.25">
      <c r="A6716" s="7"/>
    </row>
    <row r="6717" spans="1:1" x14ac:dyDescent="0.25">
      <c r="A6717" s="7"/>
    </row>
    <row r="6718" spans="1:1" x14ac:dyDescent="0.25">
      <c r="A6718" s="7"/>
    </row>
    <row r="6719" spans="1:1" x14ac:dyDescent="0.25">
      <c r="A6719" s="7"/>
    </row>
    <row r="6720" spans="1:1" x14ac:dyDescent="0.25">
      <c r="A6720" s="7"/>
    </row>
    <row r="6721" spans="1:1" x14ac:dyDescent="0.25">
      <c r="A6721" s="7"/>
    </row>
    <row r="6722" spans="1:1" x14ac:dyDescent="0.25">
      <c r="A6722" s="7"/>
    </row>
    <row r="6723" spans="1:1" x14ac:dyDescent="0.25">
      <c r="A6723" s="7"/>
    </row>
    <row r="6724" spans="1:1" x14ac:dyDescent="0.25">
      <c r="A6724" s="7"/>
    </row>
    <row r="6725" spans="1:1" x14ac:dyDescent="0.25">
      <c r="A6725" s="7"/>
    </row>
    <row r="6726" spans="1:1" x14ac:dyDescent="0.25">
      <c r="A6726" s="7"/>
    </row>
    <row r="6727" spans="1:1" x14ac:dyDescent="0.25">
      <c r="A6727" s="7"/>
    </row>
    <row r="6728" spans="1:1" x14ac:dyDescent="0.25">
      <c r="A6728" s="7"/>
    </row>
    <row r="6729" spans="1:1" x14ac:dyDescent="0.25">
      <c r="A6729" s="7"/>
    </row>
    <row r="6730" spans="1:1" x14ac:dyDescent="0.25">
      <c r="A6730" s="7"/>
    </row>
    <row r="6731" spans="1:1" x14ac:dyDescent="0.25">
      <c r="A6731" s="7"/>
    </row>
    <row r="6732" spans="1:1" x14ac:dyDescent="0.25">
      <c r="A6732" s="7"/>
    </row>
    <row r="6733" spans="1:1" x14ac:dyDescent="0.25">
      <c r="A6733" s="7"/>
    </row>
    <row r="6734" spans="1:1" x14ac:dyDescent="0.25">
      <c r="A6734" s="7"/>
    </row>
    <row r="6735" spans="1:1" x14ac:dyDescent="0.25">
      <c r="A6735" s="7"/>
    </row>
    <row r="6736" spans="1:1" x14ac:dyDescent="0.25">
      <c r="A6736" s="7"/>
    </row>
    <row r="6737" spans="1:1" x14ac:dyDescent="0.25">
      <c r="A6737" s="7"/>
    </row>
    <row r="6738" spans="1:1" x14ac:dyDescent="0.25">
      <c r="A6738" s="7"/>
    </row>
    <row r="6739" spans="1:1" x14ac:dyDescent="0.25">
      <c r="A6739" s="7"/>
    </row>
    <row r="6740" spans="1:1" x14ac:dyDescent="0.25">
      <c r="A6740" s="7"/>
    </row>
    <row r="6741" spans="1:1" x14ac:dyDescent="0.25">
      <c r="A6741" s="7"/>
    </row>
    <row r="6742" spans="1:1" x14ac:dyDescent="0.25">
      <c r="A6742" s="7"/>
    </row>
    <row r="6743" spans="1:1" x14ac:dyDescent="0.25">
      <c r="A6743" s="7"/>
    </row>
    <row r="6744" spans="1:1" x14ac:dyDescent="0.25">
      <c r="A6744" s="7"/>
    </row>
    <row r="6745" spans="1:1" x14ac:dyDescent="0.25">
      <c r="A6745" s="7"/>
    </row>
    <row r="6746" spans="1:1" x14ac:dyDescent="0.25">
      <c r="A6746" s="7"/>
    </row>
    <row r="6747" spans="1:1" x14ac:dyDescent="0.25">
      <c r="A6747" s="7"/>
    </row>
    <row r="6748" spans="1:1" x14ac:dyDescent="0.25">
      <c r="A6748" s="7"/>
    </row>
    <row r="6749" spans="1:1" x14ac:dyDescent="0.25">
      <c r="A6749" s="7"/>
    </row>
    <row r="6750" spans="1:1" x14ac:dyDescent="0.25">
      <c r="A6750" s="7"/>
    </row>
    <row r="6751" spans="1:1" x14ac:dyDescent="0.25">
      <c r="A6751" s="7"/>
    </row>
    <row r="6752" spans="1:1" x14ac:dyDescent="0.25">
      <c r="A6752" s="7"/>
    </row>
    <row r="6753" spans="1:1" x14ac:dyDescent="0.25">
      <c r="A6753" s="7"/>
    </row>
    <row r="6754" spans="1:1" x14ac:dyDescent="0.25">
      <c r="A6754" s="7"/>
    </row>
    <row r="6755" spans="1:1" x14ac:dyDescent="0.25">
      <c r="A6755" s="7"/>
    </row>
    <row r="6756" spans="1:1" x14ac:dyDescent="0.25">
      <c r="A6756" s="7"/>
    </row>
    <row r="6757" spans="1:1" x14ac:dyDescent="0.25">
      <c r="A6757" s="7"/>
    </row>
    <row r="6758" spans="1:1" x14ac:dyDescent="0.25">
      <c r="A6758" s="7"/>
    </row>
    <row r="6759" spans="1:1" x14ac:dyDescent="0.25">
      <c r="A6759" s="7"/>
    </row>
    <row r="6760" spans="1:1" x14ac:dyDescent="0.25">
      <c r="A6760" s="7"/>
    </row>
    <row r="6761" spans="1:1" x14ac:dyDescent="0.25">
      <c r="A6761" s="7"/>
    </row>
    <row r="6762" spans="1:1" x14ac:dyDescent="0.25">
      <c r="A6762" s="7"/>
    </row>
    <row r="6763" spans="1:1" x14ac:dyDescent="0.25">
      <c r="A6763" s="7"/>
    </row>
    <row r="6764" spans="1:1" x14ac:dyDescent="0.25">
      <c r="A6764" s="7"/>
    </row>
    <row r="6765" spans="1:1" x14ac:dyDescent="0.25">
      <c r="A6765" s="7"/>
    </row>
    <row r="6766" spans="1:1" x14ac:dyDescent="0.25">
      <c r="A6766" s="7"/>
    </row>
    <row r="6767" spans="1:1" x14ac:dyDescent="0.25">
      <c r="A6767" s="7"/>
    </row>
    <row r="6768" spans="1:1" x14ac:dyDescent="0.25">
      <c r="A6768" s="7"/>
    </row>
    <row r="6769" spans="1:1" x14ac:dyDescent="0.25">
      <c r="A6769" s="7"/>
    </row>
    <row r="6770" spans="1:1" x14ac:dyDescent="0.25">
      <c r="A6770" s="7"/>
    </row>
    <row r="6771" spans="1:1" x14ac:dyDescent="0.25">
      <c r="A6771" s="7"/>
    </row>
    <row r="6772" spans="1:1" x14ac:dyDescent="0.25">
      <c r="A6772" s="7"/>
    </row>
    <row r="6773" spans="1:1" x14ac:dyDescent="0.25">
      <c r="A6773" s="7"/>
    </row>
    <row r="6774" spans="1:1" x14ac:dyDescent="0.25">
      <c r="A6774" s="7"/>
    </row>
    <row r="6775" spans="1:1" x14ac:dyDescent="0.25">
      <c r="A6775" s="7"/>
    </row>
    <row r="6776" spans="1:1" x14ac:dyDescent="0.25">
      <c r="A6776" s="7"/>
    </row>
    <row r="6777" spans="1:1" x14ac:dyDescent="0.25">
      <c r="A6777" s="7"/>
    </row>
    <row r="6778" spans="1:1" x14ac:dyDescent="0.25">
      <c r="A6778" s="7"/>
    </row>
    <row r="6779" spans="1:1" x14ac:dyDescent="0.25">
      <c r="A6779" s="7"/>
    </row>
    <row r="6780" spans="1:1" x14ac:dyDescent="0.25">
      <c r="A6780" s="7"/>
    </row>
    <row r="6781" spans="1:1" x14ac:dyDescent="0.25">
      <c r="A6781" s="7"/>
    </row>
    <row r="6782" spans="1:1" x14ac:dyDescent="0.25">
      <c r="A6782" s="7"/>
    </row>
    <row r="6783" spans="1:1" x14ac:dyDescent="0.25">
      <c r="A6783" s="7"/>
    </row>
    <row r="6784" spans="1:1" x14ac:dyDescent="0.25">
      <c r="A6784" s="7"/>
    </row>
    <row r="6785" spans="1:1" x14ac:dyDescent="0.25">
      <c r="A6785" s="7"/>
    </row>
    <row r="6786" spans="1:1" x14ac:dyDescent="0.25">
      <c r="A6786" s="7"/>
    </row>
    <row r="6787" spans="1:1" x14ac:dyDescent="0.25">
      <c r="A6787" s="7"/>
    </row>
    <row r="6788" spans="1:1" x14ac:dyDescent="0.25">
      <c r="A6788" s="7"/>
    </row>
    <row r="6789" spans="1:1" x14ac:dyDescent="0.25">
      <c r="A6789" s="7"/>
    </row>
    <row r="6790" spans="1:1" x14ac:dyDescent="0.25">
      <c r="A6790" s="7"/>
    </row>
    <row r="6791" spans="1:1" x14ac:dyDescent="0.25">
      <c r="A6791" s="7"/>
    </row>
    <row r="6792" spans="1:1" x14ac:dyDescent="0.25">
      <c r="A6792" s="7"/>
    </row>
    <row r="6793" spans="1:1" x14ac:dyDescent="0.25">
      <c r="A6793" s="7"/>
    </row>
    <row r="6794" spans="1:1" x14ac:dyDescent="0.25">
      <c r="A6794" s="7"/>
    </row>
    <row r="6795" spans="1:1" x14ac:dyDescent="0.25">
      <c r="A6795" s="7"/>
    </row>
    <row r="6796" spans="1:1" x14ac:dyDescent="0.25">
      <c r="A6796" s="7"/>
    </row>
    <row r="6797" spans="1:1" x14ac:dyDescent="0.25">
      <c r="A6797" s="7"/>
    </row>
    <row r="6798" spans="1:1" x14ac:dyDescent="0.25">
      <c r="A6798" s="7"/>
    </row>
    <row r="6799" spans="1:1" x14ac:dyDescent="0.25">
      <c r="A6799" s="7"/>
    </row>
    <row r="6800" spans="1:1" x14ac:dyDescent="0.25">
      <c r="A6800" s="7"/>
    </row>
    <row r="6801" spans="1:1" x14ac:dyDescent="0.25">
      <c r="A6801" s="7"/>
    </row>
    <row r="6802" spans="1:1" x14ac:dyDescent="0.25">
      <c r="A6802" s="7"/>
    </row>
    <row r="6803" spans="1:1" x14ac:dyDescent="0.25">
      <c r="A6803" s="7"/>
    </row>
    <row r="6804" spans="1:1" x14ac:dyDescent="0.25">
      <c r="A6804" s="7"/>
    </row>
    <row r="6805" spans="1:1" x14ac:dyDescent="0.25">
      <c r="A6805" s="7"/>
    </row>
    <row r="6806" spans="1:1" x14ac:dyDescent="0.25">
      <c r="A6806" s="7"/>
    </row>
    <row r="6807" spans="1:1" x14ac:dyDescent="0.25">
      <c r="A6807" s="7"/>
    </row>
    <row r="6808" spans="1:1" x14ac:dyDescent="0.25">
      <c r="A6808" s="7"/>
    </row>
    <row r="6809" spans="1:1" x14ac:dyDescent="0.25">
      <c r="A6809" s="7"/>
    </row>
    <row r="6810" spans="1:1" x14ac:dyDescent="0.25">
      <c r="A6810" s="7"/>
    </row>
    <row r="6811" spans="1:1" x14ac:dyDescent="0.25">
      <c r="A6811" s="7"/>
    </row>
    <row r="6812" spans="1:1" x14ac:dyDescent="0.25">
      <c r="A6812" s="7"/>
    </row>
    <row r="6813" spans="1:1" x14ac:dyDescent="0.25">
      <c r="A6813" s="7"/>
    </row>
    <row r="6814" spans="1:1" x14ac:dyDescent="0.25">
      <c r="A6814" s="7"/>
    </row>
    <row r="6815" spans="1:1" x14ac:dyDescent="0.25">
      <c r="A6815" s="7"/>
    </row>
    <row r="6816" spans="1:1" x14ac:dyDescent="0.25">
      <c r="A6816" s="7"/>
    </row>
    <row r="6817" spans="1:1" x14ac:dyDescent="0.25">
      <c r="A6817" s="7"/>
    </row>
    <row r="6818" spans="1:1" x14ac:dyDescent="0.25">
      <c r="A6818" s="7"/>
    </row>
    <row r="6819" spans="1:1" x14ac:dyDescent="0.25">
      <c r="A6819" s="7"/>
    </row>
    <row r="6820" spans="1:1" x14ac:dyDescent="0.25">
      <c r="A6820" s="7"/>
    </row>
    <row r="6821" spans="1:1" x14ac:dyDescent="0.25">
      <c r="A6821" s="7"/>
    </row>
    <row r="6822" spans="1:1" x14ac:dyDescent="0.25">
      <c r="A6822" s="7"/>
    </row>
    <row r="6823" spans="1:1" x14ac:dyDescent="0.25">
      <c r="A6823" s="7"/>
    </row>
    <row r="6824" spans="1:1" x14ac:dyDescent="0.25">
      <c r="A6824" s="7"/>
    </row>
    <row r="6825" spans="1:1" x14ac:dyDescent="0.25">
      <c r="A6825" s="7"/>
    </row>
    <row r="6826" spans="1:1" x14ac:dyDescent="0.25">
      <c r="A6826" s="7"/>
    </row>
    <row r="6827" spans="1:1" x14ac:dyDescent="0.25">
      <c r="A6827" s="7"/>
    </row>
    <row r="6828" spans="1:1" x14ac:dyDescent="0.25">
      <c r="A6828" s="7"/>
    </row>
    <row r="6829" spans="1:1" x14ac:dyDescent="0.25">
      <c r="A6829" s="7"/>
    </row>
    <row r="6830" spans="1:1" x14ac:dyDescent="0.25">
      <c r="A6830" s="7"/>
    </row>
    <row r="6831" spans="1:1" x14ac:dyDescent="0.25">
      <c r="A6831" s="7"/>
    </row>
    <row r="6832" spans="1:1" x14ac:dyDescent="0.25">
      <c r="A6832" s="7"/>
    </row>
    <row r="6833" spans="1:1" x14ac:dyDescent="0.25">
      <c r="A6833" s="7"/>
    </row>
    <row r="6834" spans="1:1" x14ac:dyDescent="0.25">
      <c r="A6834" s="7"/>
    </row>
    <row r="6835" spans="1:1" x14ac:dyDescent="0.25">
      <c r="A6835" s="7"/>
    </row>
    <row r="6836" spans="1:1" x14ac:dyDescent="0.25">
      <c r="A6836" s="7"/>
    </row>
    <row r="6837" spans="1:1" x14ac:dyDescent="0.25">
      <c r="A6837" s="7"/>
    </row>
    <row r="6838" spans="1:1" x14ac:dyDescent="0.25">
      <c r="A6838" s="7"/>
    </row>
    <row r="6839" spans="1:1" x14ac:dyDescent="0.25">
      <c r="A6839" s="7"/>
    </row>
    <row r="6840" spans="1:1" x14ac:dyDescent="0.25">
      <c r="A6840" s="7"/>
    </row>
    <row r="6841" spans="1:1" x14ac:dyDescent="0.25">
      <c r="A6841" s="7"/>
    </row>
    <row r="6842" spans="1:1" x14ac:dyDescent="0.25">
      <c r="A6842" s="7"/>
    </row>
    <row r="6843" spans="1:1" x14ac:dyDescent="0.25">
      <c r="A6843" s="7"/>
    </row>
    <row r="6844" spans="1:1" x14ac:dyDescent="0.25">
      <c r="A6844" s="7"/>
    </row>
    <row r="6845" spans="1:1" x14ac:dyDescent="0.25">
      <c r="A6845" s="7"/>
    </row>
    <row r="6846" spans="1:1" x14ac:dyDescent="0.25">
      <c r="A6846" s="7"/>
    </row>
    <row r="6847" spans="1:1" x14ac:dyDescent="0.25">
      <c r="A6847" s="7"/>
    </row>
    <row r="6848" spans="1:1" x14ac:dyDescent="0.25">
      <c r="A6848" s="7"/>
    </row>
    <row r="6849" spans="1:1" x14ac:dyDescent="0.25">
      <c r="A6849" s="7"/>
    </row>
    <row r="6850" spans="1:1" x14ac:dyDescent="0.25">
      <c r="A6850" s="7"/>
    </row>
    <row r="6851" spans="1:1" x14ac:dyDescent="0.25">
      <c r="A6851" s="7"/>
    </row>
    <row r="6852" spans="1:1" x14ac:dyDescent="0.25">
      <c r="A6852" s="7"/>
    </row>
    <row r="6853" spans="1:1" x14ac:dyDescent="0.25">
      <c r="A6853" s="7"/>
    </row>
    <row r="6854" spans="1:1" x14ac:dyDescent="0.25">
      <c r="A6854" s="7"/>
    </row>
    <row r="6855" spans="1:1" x14ac:dyDescent="0.25">
      <c r="A6855" s="7"/>
    </row>
    <row r="6856" spans="1:1" x14ac:dyDescent="0.25">
      <c r="A6856" s="7"/>
    </row>
    <row r="6857" spans="1:1" x14ac:dyDescent="0.25">
      <c r="A6857" s="7"/>
    </row>
    <row r="6858" spans="1:1" x14ac:dyDescent="0.25">
      <c r="A6858" s="7"/>
    </row>
    <row r="6859" spans="1:1" x14ac:dyDescent="0.25">
      <c r="A6859" s="7"/>
    </row>
    <row r="6860" spans="1:1" x14ac:dyDescent="0.25">
      <c r="A6860" s="7"/>
    </row>
    <row r="6861" spans="1:1" x14ac:dyDescent="0.25">
      <c r="A6861" s="7"/>
    </row>
    <row r="6862" spans="1:1" x14ac:dyDescent="0.25">
      <c r="A6862" s="7"/>
    </row>
    <row r="6863" spans="1:1" x14ac:dyDescent="0.25">
      <c r="A6863" s="7"/>
    </row>
    <row r="6864" spans="1:1" x14ac:dyDescent="0.25">
      <c r="A6864" s="7"/>
    </row>
    <row r="6865" spans="1:1" x14ac:dyDescent="0.25">
      <c r="A6865" s="7"/>
    </row>
    <row r="6866" spans="1:1" x14ac:dyDescent="0.25">
      <c r="A6866" s="7"/>
    </row>
    <row r="6867" spans="1:1" x14ac:dyDescent="0.25">
      <c r="A6867" s="7"/>
    </row>
    <row r="6868" spans="1:1" x14ac:dyDescent="0.25">
      <c r="A6868" s="7"/>
    </row>
    <row r="6869" spans="1:1" x14ac:dyDescent="0.25">
      <c r="A6869" s="7"/>
    </row>
    <row r="6870" spans="1:1" x14ac:dyDescent="0.25">
      <c r="A6870" s="7"/>
    </row>
    <row r="6871" spans="1:1" x14ac:dyDescent="0.25">
      <c r="A6871" s="7"/>
    </row>
    <row r="6872" spans="1:1" x14ac:dyDescent="0.25">
      <c r="A6872" s="7"/>
    </row>
    <row r="6873" spans="1:1" x14ac:dyDescent="0.25">
      <c r="A6873" s="7"/>
    </row>
    <row r="6874" spans="1:1" x14ac:dyDescent="0.25">
      <c r="A6874" s="7"/>
    </row>
    <row r="6875" spans="1:1" x14ac:dyDescent="0.25">
      <c r="A6875" s="7"/>
    </row>
    <row r="6876" spans="1:1" x14ac:dyDescent="0.25">
      <c r="A6876" s="7"/>
    </row>
    <row r="6877" spans="1:1" x14ac:dyDescent="0.25">
      <c r="A6877" s="7"/>
    </row>
    <row r="6878" spans="1:1" x14ac:dyDescent="0.25">
      <c r="A6878" s="7"/>
    </row>
    <row r="6879" spans="1:1" x14ac:dyDescent="0.25">
      <c r="A6879" s="7"/>
    </row>
    <row r="6880" spans="1:1" x14ac:dyDescent="0.25">
      <c r="A6880" s="7"/>
    </row>
    <row r="6881" spans="1:1" x14ac:dyDescent="0.25">
      <c r="A6881" s="7"/>
    </row>
    <row r="6882" spans="1:1" x14ac:dyDescent="0.25">
      <c r="A6882" s="7"/>
    </row>
    <row r="6883" spans="1:1" x14ac:dyDescent="0.25">
      <c r="A6883" s="7"/>
    </row>
    <row r="6884" spans="1:1" x14ac:dyDescent="0.25">
      <c r="A6884" s="7"/>
    </row>
    <row r="6885" spans="1:1" x14ac:dyDescent="0.25">
      <c r="A6885" s="7"/>
    </row>
    <row r="6886" spans="1:1" x14ac:dyDescent="0.25">
      <c r="A6886" s="7"/>
    </row>
    <row r="6887" spans="1:1" x14ac:dyDescent="0.25">
      <c r="A6887" s="7"/>
    </row>
    <row r="6888" spans="1:1" x14ac:dyDescent="0.25">
      <c r="A6888" s="7"/>
    </row>
    <row r="6889" spans="1:1" x14ac:dyDescent="0.25">
      <c r="A6889" s="7"/>
    </row>
    <row r="6890" spans="1:1" x14ac:dyDescent="0.25">
      <c r="A6890" s="7"/>
    </row>
    <row r="6891" spans="1:1" x14ac:dyDescent="0.25">
      <c r="A6891" s="7"/>
    </row>
    <row r="6892" spans="1:1" x14ac:dyDescent="0.25">
      <c r="A6892" s="7"/>
    </row>
    <row r="6893" spans="1:1" x14ac:dyDescent="0.25">
      <c r="A6893" s="7"/>
    </row>
    <row r="6894" spans="1:1" x14ac:dyDescent="0.25">
      <c r="A6894" s="7"/>
    </row>
    <row r="6895" spans="1:1" x14ac:dyDescent="0.25">
      <c r="A6895" s="7"/>
    </row>
    <row r="6896" spans="1:1" x14ac:dyDescent="0.25">
      <c r="A6896" s="7"/>
    </row>
    <row r="6897" spans="1:1" x14ac:dyDescent="0.25">
      <c r="A6897" s="7"/>
    </row>
    <row r="6898" spans="1:1" x14ac:dyDescent="0.25">
      <c r="A6898" s="7"/>
    </row>
    <row r="6899" spans="1:1" x14ac:dyDescent="0.25">
      <c r="A6899" s="7"/>
    </row>
    <row r="6900" spans="1:1" x14ac:dyDescent="0.25">
      <c r="A6900" s="7"/>
    </row>
    <row r="6901" spans="1:1" x14ac:dyDescent="0.25">
      <c r="A6901" s="7"/>
    </row>
    <row r="6902" spans="1:1" x14ac:dyDescent="0.25">
      <c r="A6902" s="7"/>
    </row>
    <row r="6903" spans="1:1" x14ac:dyDescent="0.25">
      <c r="A6903" s="7"/>
    </row>
    <row r="6904" spans="1:1" x14ac:dyDescent="0.25">
      <c r="A6904" s="7"/>
    </row>
    <row r="6905" spans="1:1" x14ac:dyDescent="0.25">
      <c r="A6905" s="7"/>
    </row>
    <row r="6906" spans="1:1" x14ac:dyDescent="0.25">
      <c r="A6906" s="7"/>
    </row>
    <row r="6907" spans="1:1" x14ac:dyDescent="0.25">
      <c r="A6907" s="7"/>
    </row>
    <row r="6908" spans="1:1" x14ac:dyDescent="0.25">
      <c r="A6908" s="7"/>
    </row>
    <row r="6909" spans="1:1" x14ac:dyDescent="0.25">
      <c r="A6909" s="7"/>
    </row>
    <row r="6910" spans="1:1" x14ac:dyDescent="0.25">
      <c r="A6910" s="7"/>
    </row>
    <row r="6911" spans="1:1" x14ac:dyDescent="0.25">
      <c r="A6911" s="7"/>
    </row>
    <row r="6912" spans="1:1" x14ac:dyDescent="0.25">
      <c r="A6912" s="7"/>
    </row>
    <row r="6913" spans="1:1" x14ac:dyDescent="0.25">
      <c r="A6913" s="7"/>
    </row>
    <row r="6914" spans="1:1" x14ac:dyDescent="0.25">
      <c r="A6914" s="7"/>
    </row>
    <row r="6915" spans="1:1" x14ac:dyDescent="0.25">
      <c r="A6915" s="7"/>
    </row>
    <row r="6916" spans="1:1" x14ac:dyDescent="0.25">
      <c r="A6916" s="7"/>
    </row>
    <row r="6917" spans="1:1" x14ac:dyDescent="0.25">
      <c r="A6917" s="7"/>
    </row>
    <row r="6918" spans="1:1" x14ac:dyDescent="0.25">
      <c r="A6918" s="7"/>
    </row>
    <row r="6919" spans="1:1" x14ac:dyDescent="0.25">
      <c r="A6919" s="7"/>
    </row>
    <row r="6920" spans="1:1" x14ac:dyDescent="0.25">
      <c r="A6920" s="7"/>
    </row>
    <row r="6921" spans="1:1" x14ac:dyDescent="0.25">
      <c r="A6921" s="7"/>
    </row>
    <row r="6922" spans="1:1" x14ac:dyDescent="0.25">
      <c r="A6922" s="7"/>
    </row>
    <row r="6923" spans="1:1" x14ac:dyDescent="0.25">
      <c r="A6923" s="7"/>
    </row>
    <row r="6924" spans="1:1" x14ac:dyDescent="0.25">
      <c r="A6924" s="7"/>
    </row>
    <row r="6925" spans="1:1" x14ac:dyDescent="0.25">
      <c r="A6925" s="7"/>
    </row>
    <row r="6926" spans="1:1" x14ac:dyDescent="0.25">
      <c r="A6926" s="7"/>
    </row>
    <row r="6927" spans="1:1" x14ac:dyDescent="0.25">
      <c r="A6927" s="7"/>
    </row>
    <row r="6928" spans="1:1" x14ac:dyDescent="0.25">
      <c r="A6928" s="7"/>
    </row>
    <row r="6929" spans="1:1" x14ac:dyDescent="0.25">
      <c r="A6929" s="7"/>
    </row>
    <row r="6930" spans="1:1" x14ac:dyDescent="0.25">
      <c r="A6930" s="7"/>
    </row>
    <row r="6931" spans="1:1" x14ac:dyDescent="0.25">
      <c r="A6931" s="7"/>
    </row>
    <row r="6932" spans="1:1" x14ac:dyDescent="0.25">
      <c r="A6932" s="7"/>
    </row>
    <row r="6933" spans="1:1" x14ac:dyDescent="0.25">
      <c r="A6933" s="7"/>
    </row>
    <row r="6934" spans="1:1" x14ac:dyDescent="0.25">
      <c r="A6934" s="7"/>
    </row>
    <row r="6935" spans="1:1" x14ac:dyDescent="0.25">
      <c r="A6935" s="7"/>
    </row>
    <row r="6936" spans="1:1" x14ac:dyDescent="0.25">
      <c r="A6936" s="7"/>
    </row>
    <row r="6937" spans="1:1" x14ac:dyDescent="0.25">
      <c r="A6937" s="7"/>
    </row>
    <row r="6938" spans="1:1" x14ac:dyDescent="0.25">
      <c r="A6938" s="7"/>
    </row>
    <row r="6939" spans="1:1" x14ac:dyDescent="0.25">
      <c r="A6939" s="7"/>
    </row>
    <row r="6940" spans="1:1" x14ac:dyDescent="0.25">
      <c r="A6940" s="7"/>
    </row>
    <row r="6941" spans="1:1" x14ac:dyDescent="0.25">
      <c r="A6941" s="7"/>
    </row>
    <row r="6942" spans="1:1" x14ac:dyDescent="0.25">
      <c r="A6942" s="7"/>
    </row>
    <row r="6943" spans="1:1" x14ac:dyDescent="0.25">
      <c r="A6943" s="7"/>
    </row>
    <row r="6944" spans="1:1" x14ac:dyDescent="0.25">
      <c r="A6944" s="7"/>
    </row>
    <row r="6945" spans="1:1" x14ac:dyDescent="0.25">
      <c r="A6945" s="7"/>
    </row>
    <row r="6946" spans="1:1" x14ac:dyDescent="0.25">
      <c r="A6946" s="7"/>
    </row>
    <row r="6947" spans="1:1" x14ac:dyDescent="0.25">
      <c r="A6947" s="7"/>
    </row>
    <row r="6948" spans="1:1" x14ac:dyDescent="0.25">
      <c r="A6948" s="7"/>
    </row>
    <row r="6949" spans="1:1" x14ac:dyDescent="0.25">
      <c r="A6949" s="7"/>
    </row>
    <row r="6950" spans="1:1" x14ac:dyDescent="0.25">
      <c r="A6950" s="7"/>
    </row>
    <row r="6951" spans="1:1" x14ac:dyDescent="0.25">
      <c r="A6951" s="7"/>
    </row>
    <row r="6952" spans="1:1" x14ac:dyDescent="0.25">
      <c r="A6952" s="7"/>
    </row>
    <row r="6953" spans="1:1" x14ac:dyDescent="0.25">
      <c r="A6953" s="7"/>
    </row>
    <row r="6954" spans="1:1" x14ac:dyDescent="0.25">
      <c r="A6954" s="7"/>
    </row>
    <row r="6955" spans="1:1" x14ac:dyDescent="0.25">
      <c r="A6955" s="7"/>
    </row>
    <row r="6956" spans="1:1" x14ac:dyDescent="0.25">
      <c r="A6956" s="7"/>
    </row>
    <row r="6957" spans="1:1" x14ac:dyDescent="0.25">
      <c r="A6957" s="7"/>
    </row>
    <row r="6958" spans="1:1" x14ac:dyDescent="0.25">
      <c r="A6958" s="7"/>
    </row>
    <row r="6959" spans="1:1" x14ac:dyDescent="0.25">
      <c r="A6959" s="7"/>
    </row>
    <row r="6960" spans="1:1" x14ac:dyDescent="0.25">
      <c r="A6960" s="7"/>
    </row>
    <row r="6961" spans="1:1" x14ac:dyDescent="0.25">
      <c r="A6961" s="7"/>
    </row>
    <row r="6962" spans="1:1" x14ac:dyDescent="0.25">
      <c r="A6962" s="7"/>
    </row>
    <row r="6963" spans="1:1" x14ac:dyDescent="0.25">
      <c r="A6963" s="7"/>
    </row>
    <row r="6964" spans="1:1" x14ac:dyDescent="0.25">
      <c r="A6964" s="7"/>
    </row>
    <row r="6965" spans="1:1" x14ac:dyDescent="0.25">
      <c r="A6965" s="7"/>
    </row>
    <row r="6966" spans="1:1" x14ac:dyDescent="0.25">
      <c r="A6966" s="7"/>
    </row>
    <row r="6967" spans="1:1" x14ac:dyDescent="0.25">
      <c r="A6967" s="7"/>
    </row>
    <row r="6968" spans="1:1" x14ac:dyDescent="0.25">
      <c r="A6968" s="7"/>
    </row>
    <row r="6969" spans="1:1" x14ac:dyDescent="0.25">
      <c r="A6969" s="7"/>
    </row>
    <row r="6970" spans="1:1" x14ac:dyDescent="0.25">
      <c r="A6970" s="7"/>
    </row>
    <row r="6971" spans="1:1" x14ac:dyDescent="0.25">
      <c r="A6971" s="7"/>
    </row>
    <row r="6972" spans="1:1" x14ac:dyDescent="0.25">
      <c r="A6972" s="7"/>
    </row>
    <row r="6973" spans="1:1" x14ac:dyDescent="0.25">
      <c r="A6973" s="7"/>
    </row>
    <row r="6974" spans="1:1" x14ac:dyDescent="0.25">
      <c r="A6974" s="7"/>
    </row>
    <row r="6975" spans="1:1" x14ac:dyDescent="0.25">
      <c r="A6975" s="7"/>
    </row>
    <row r="6976" spans="1:1" x14ac:dyDescent="0.25">
      <c r="A6976" s="7"/>
    </row>
    <row r="6977" spans="1:1" x14ac:dyDescent="0.25">
      <c r="A6977" s="7"/>
    </row>
    <row r="6978" spans="1:1" x14ac:dyDescent="0.25">
      <c r="A6978" s="7"/>
    </row>
    <row r="6979" spans="1:1" x14ac:dyDescent="0.25">
      <c r="A6979" s="7"/>
    </row>
    <row r="6980" spans="1:1" x14ac:dyDescent="0.25">
      <c r="A6980" s="7"/>
    </row>
    <row r="6981" spans="1:1" x14ac:dyDescent="0.25">
      <c r="A6981" s="7"/>
    </row>
    <row r="6982" spans="1:1" x14ac:dyDescent="0.25">
      <c r="A6982" s="7"/>
    </row>
    <row r="6983" spans="1:1" x14ac:dyDescent="0.25">
      <c r="A6983" s="7"/>
    </row>
    <row r="6984" spans="1:1" x14ac:dyDescent="0.25">
      <c r="A6984" s="7"/>
    </row>
    <row r="6985" spans="1:1" x14ac:dyDescent="0.25">
      <c r="A6985" s="7"/>
    </row>
    <row r="6986" spans="1:1" x14ac:dyDescent="0.25">
      <c r="A6986" s="7"/>
    </row>
    <row r="6987" spans="1:1" x14ac:dyDescent="0.25">
      <c r="A6987" s="7"/>
    </row>
    <row r="6988" spans="1:1" x14ac:dyDescent="0.25">
      <c r="A6988" s="7"/>
    </row>
    <row r="6989" spans="1:1" x14ac:dyDescent="0.25">
      <c r="A6989" s="7"/>
    </row>
    <row r="6990" spans="1:1" x14ac:dyDescent="0.25">
      <c r="A6990" s="7"/>
    </row>
    <row r="6991" spans="1:1" x14ac:dyDescent="0.25">
      <c r="A6991" s="7"/>
    </row>
    <row r="6992" spans="1:1" x14ac:dyDescent="0.25">
      <c r="A6992" s="7"/>
    </row>
    <row r="6993" spans="1:1" x14ac:dyDescent="0.25">
      <c r="A6993" s="7"/>
    </row>
    <row r="6994" spans="1:1" x14ac:dyDescent="0.25">
      <c r="A6994" s="7"/>
    </row>
    <row r="6995" spans="1:1" x14ac:dyDescent="0.25">
      <c r="A6995" s="7"/>
    </row>
    <row r="6996" spans="1:1" x14ac:dyDescent="0.25">
      <c r="A6996" s="7"/>
    </row>
    <row r="6997" spans="1:1" x14ac:dyDescent="0.25">
      <c r="A6997" s="7"/>
    </row>
    <row r="6998" spans="1:1" x14ac:dyDescent="0.25">
      <c r="A6998" s="7"/>
    </row>
    <row r="6999" spans="1:1" x14ac:dyDescent="0.25">
      <c r="A6999" s="7"/>
    </row>
    <row r="7000" spans="1:1" x14ac:dyDescent="0.25">
      <c r="A7000" s="7"/>
    </row>
    <row r="7001" spans="1:1" x14ac:dyDescent="0.25">
      <c r="A7001" s="7"/>
    </row>
    <row r="7002" spans="1:1" x14ac:dyDescent="0.25">
      <c r="A7002" s="7"/>
    </row>
    <row r="7003" spans="1:1" x14ac:dyDescent="0.25">
      <c r="A7003" s="7"/>
    </row>
    <row r="7004" spans="1:1" x14ac:dyDescent="0.25">
      <c r="A7004" s="7"/>
    </row>
    <row r="7005" spans="1:1" x14ac:dyDescent="0.25">
      <c r="A7005" s="7"/>
    </row>
    <row r="7006" spans="1:1" x14ac:dyDescent="0.25">
      <c r="A7006" s="7"/>
    </row>
    <row r="7007" spans="1:1" x14ac:dyDescent="0.25">
      <c r="A7007" s="7"/>
    </row>
    <row r="7008" spans="1:1" x14ac:dyDescent="0.25">
      <c r="A7008" s="7"/>
    </row>
    <row r="7009" spans="1:1" x14ac:dyDescent="0.25">
      <c r="A7009" s="7"/>
    </row>
    <row r="7010" spans="1:1" x14ac:dyDescent="0.25">
      <c r="A7010" s="7"/>
    </row>
    <row r="7011" spans="1:1" x14ac:dyDescent="0.25">
      <c r="A7011" s="7"/>
    </row>
    <row r="7012" spans="1:1" x14ac:dyDescent="0.25">
      <c r="A7012" s="7"/>
    </row>
    <row r="7013" spans="1:1" x14ac:dyDescent="0.25">
      <c r="A7013" s="7"/>
    </row>
    <row r="7014" spans="1:1" x14ac:dyDescent="0.25">
      <c r="A7014" s="7"/>
    </row>
    <row r="7015" spans="1:1" x14ac:dyDescent="0.25">
      <c r="A7015" s="7"/>
    </row>
    <row r="7016" spans="1:1" x14ac:dyDescent="0.25">
      <c r="A7016" s="7"/>
    </row>
    <row r="7017" spans="1:1" x14ac:dyDescent="0.25">
      <c r="A7017" s="7"/>
    </row>
    <row r="7018" spans="1:1" x14ac:dyDescent="0.25">
      <c r="A7018" s="7"/>
    </row>
    <row r="7019" spans="1:1" x14ac:dyDescent="0.25">
      <c r="A7019" s="7"/>
    </row>
    <row r="7020" spans="1:1" x14ac:dyDescent="0.25">
      <c r="A7020" s="7"/>
    </row>
    <row r="7021" spans="1:1" x14ac:dyDescent="0.25">
      <c r="A7021" s="7"/>
    </row>
    <row r="7022" spans="1:1" x14ac:dyDescent="0.25">
      <c r="A7022" s="7"/>
    </row>
    <row r="7023" spans="1:1" x14ac:dyDescent="0.25">
      <c r="A7023" s="7"/>
    </row>
    <row r="7024" spans="1:1" x14ac:dyDescent="0.25">
      <c r="A7024" s="7"/>
    </row>
    <row r="7025" spans="1:1" x14ac:dyDescent="0.25">
      <c r="A7025" s="7"/>
    </row>
    <row r="7026" spans="1:1" x14ac:dyDescent="0.25">
      <c r="A7026" s="7"/>
    </row>
    <row r="7027" spans="1:1" x14ac:dyDescent="0.25">
      <c r="A7027" s="7"/>
    </row>
    <row r="7028" spans="1:1" x14ac:dyDescent="0.25">
      <c r="A7028" s="7"/>
    </row>
    <row r="7029" spans="1:1" x14ac:dyDescent="0.25">
      <c r="A7029" s="7"/>
    </row>
    <row r="7030" spans="1:1" x14ac:dyDescent="0.25">
      <c r="A7030" s="7"/>
    </row>
    <row r="7031" spans="1:1" x14ac:dyDescent="0.25">
      <c r="A7031" s="7"/>
    </row>
    <row r="7032" spans="1:1" x14ac:dyDescent="0.25">
      <c r="A7032" s="7"/>
    </row>
    <row r="7033" spans="1:1" x14ac:dyDescent="0.25">
      <c r="A7033" s="7"/>
    </row>
    <row r="7034" spans="1:1" x14ac:dyDescent="0.25">
      <c r="A7034" s="7"/>
    </row>
    <row r="7035" spans="1:1" x14ac:dyDescent="0.25">
      <c r="A7035" s="7"/>
    </row>
    <row r="7036" spans="1:1" x14ac:dyDescent="0.25">
      <c r="A7036" s="7"/>
    </row>
    <row r="7037" spans="1:1" x14ac:dyDescent="0.25">
      <c r="A7037" s="7"/>
    </row>
    <row r="7038" spans="1:1" x14ac:dyDescent="0.25">
      <c r="A7038" s="7"/>
    </row>
    <row r="7039" spans="1:1" x14ac:dyDescent="0.25">
      <c r="A7039" s="7"/>
    </row>
    <row r="7040" spans="1:1" x14ac:dyDescent="0.25">
      <c r="A7040" s="7"/>
    </row>
    <row r="7041" spans="1:1" x14ac:dyDescent="0.25">
      <c r="A7041" s="7"/>
    </row>
    <row r="7042" spans="1:1" x14ac:dyDescent="0.25">
      <c r="A7042" s="7"/>
    </row>
    <row r="7043" spans="1:1" x14ac:dyDescent="0.25">
      <c r="A7043" s="7"/>
    </row>
    <row r="7044" spans="1:1" x14ac:dyDescent="0.25">
      <c r="A7044" s="7"/>
    </row>
    <row r="7045" spans="1:1" x14ac:dyDescent="0.25">
      <c r="A7045" s="7"/>
    </row>
    <row r="7046" spans="1:1" x14ac:dyDescent="0.25">
      <c r="A7046" s="7"/>
    </row>
    <row r="7047" spans="1:1" x14ac:dyDescent="0.25">
      <c r="A7047" s="7"/>
    </row>
    <row r="7048" spans="1:1" x14ac:dyDescent="0.25">
      <c r="A7048" s="7"/>
    </row>
    <row r="7049" spans="1:1" x14ac:dyDescent="0.25">
      <c r="A7049" s="7"/>
    </row>
    <row r="7050" spans="1:1" x14ac:dyDescent="0.25">
      <c r="A7050" s="7"/>
    </row>
    <row r="7051" spans="1:1" x14ac:dyDescent="0.25">
      <c r="A7051" s="7"/>
    </row>
    <row r="7052" spans="1:1" x14ac:dyDescent="0.25">
      <c r="A7052" s="7"/>
    </row>
    <row r="7053" spans="1:1" x14ac:dyDescent="0.25">
      <c r="A7053" s="7"/>
    </row>
    <row r="7054" spans="1:1" x14ac:dyDescent="0.25">
      <c r="A7054" s="7"/>
    </row>
    <row r="7055" spans="1:1" x14ac:dyDescent="0.25">
      <c r="A7055" s="7"/>
    </row>
    <row r="7056" spans="1:1" x14ac:dyDescent="0.25">
      <c r="A7056" s="7"/>
    </row>
    <row r="7057" spans="1:1" x14ac:dyDescent="0.25">
      <c r="A7057" s="7"/>
    </row>
    <row r="7058" spans="1:1" x14ac:dyDescent="0.25">
      <c r="A7058" s="7"/>
    </row>
    <row r="7059" spans="1:1" x14ac:dyDescent="0.25">
      <c r="A7059" s="7"/>
    </row>
    <row r="7060" spans="1:1" x14ac:dyDescent="0.25">
      <c r="A7060" s="7"/>
    </row>
    <row r="7061" spans="1:1" x14ac:dyDescent="0.25">
      <c r="A7061" s="7"/>
    </row>
    <row r="7062" spans="1:1" x14ac:dyDescent="0.25">
      <c r="A7062" s="7"/>
    </row>
    <row r="7063" spans="1:1" x14ac:dyDescent="0.25">
      <c r="A7063" s="7"/>
    </row>
    <row r="7064" spans="1:1" x14ac:dyDescent="0.25">
      <c r="A7064" s="7"/>
    </row>
    <row r="7065" spans="1:1" x14ac:dyDescent="0.25">
      <c r="A7065" s="7"/>
    </row>
    <row r="7066" spans="1:1" x14ac:dyDescent="0.25">
      <c r="A7066" s="7"/>
    </row>
    <row r="7067" spans="1:1" x14ac:dyDescent="0.25">
      <c r="A7067" s="7"/>
    </row>
    <row r="7068" spans="1:1" x14ac:dyDescent="0.25">
      <c r="A7068" s="7"/>
    </row>
    <row r="7069" spans="1:1" x14ac:dyDescent="0.25">
      <c r="A7069" s="7"/>
    </row>
    <row r="7070" spans="1:1" x14ac:dyDescent="0.25">
      <c r="A7070" s="7"/>
    </row>
    <row r="7071" spans="1:1" x14ac:dyDescent="0.25">
      <c r="A7071" s="7"/>
    </row>
    <row r="7072" spans="1:1" x14ac:dyDescent="0.25">
      <c r="A7072" s="7"/>
    </row>
    <row r="7073" spans="1:1" x14ac:dyDescent="0.25">
      <c r="A7073" s="7"/>
    </row>
    <row r="7074" spans="1:1" x14ac:dyDescent="0.25">
      <c r="A7074" s="7"/>
    </row>
    <row r="7075" spans="1:1" x14ac:dyDescent="0.25">
      <c r="A7075" s="7"/>
    </row>
    <row r="7076" spans="1:1" x14ac:dyDescent="0.25">
      <c r="A7076" s="7"/>
    </row>
    <row r="7077" spans="1:1" x14ac:dyDescent="0.25">
      <c r="A7077" s="7"/>
    </row>
    <row r="7078" spans="1:1" x14ac:dyDescent="0.25">
      <c r="A7078" s="7"/>
    </row>
    <row r="7079" spans="1:1" x14ac:dyDescent="0.25">
      <c r="A7079" s="7"/>
    </row>
    <row r="7080" spans="1:1" x14ac:dyDescent="0.25">
      <c r="A7080" s="7"/>
    </row>
    <row r="7081" spans="1:1" x14ac:dyDescent="0.25">
      <c r="A7081" s="7"/>
    </row>
    <row r="7082" spans="1:1" x14ac:dyDescent="0.25">
      <c r="A7082" s="7"/>
    </row>
    <row r="7083" spans="1:1" x14ac:dyDescent="0.25">
      <c r="A7083" s="7"/>
    </row>
    <row r="7084" spans="1:1" x14ac:dyDescent="0.25">
      <c r="A7084" s="7"/>
    </row>
    <row r="7085" spans="1:1" x14ac:dyDescent="0.25">
      <c r="A7085" s="7"/>
    </row>
    <row r="7086" spans="1:1" x14ac:dyDescent="0.25">
      <c r="A7086" s="7"/>
    </row>
    <row r="7087" spans="1:1" x14ac:dyDescent="0.25">
      <c r="A7087" s="7"/>
    </row>
    <row r="7088" spans="1:1" x14ac:dyDescent="0.25">
      <c r="A7088" s="7"/>
    </row>
    <row r="7089" spans="1:1" x14ac:dyDescent="0.25">
      <c r="A7089" s="7"/>
    </row>
    <row r="7090" spans="1:1" x14ac:dyDescent="0.25">
      <c r="A7090" s="7"/>
    </row>
    <row r="7091" spans="1:1" x14ac:dyDescent="0.25">
      <c r="A7091" s="7"/>
    </row>
    <row r="7092" spans="1:1" x14ac:dyDescent="0.25">
      <c r="A7092" s="7"/>
    </row>
    <row r="7093" spans="1:1" x14ac:dyDescent="0.25">
      <c r="A7093" s="7"/>
    </row>
    <row r="7094" spans="1:1" x14ac:dyDescent="0.25">
      <c r="A7094" s="7"/>
    </row>
    <row r="7095" spans="1:1" x14ac:dyDescent="0.25">
      <c r="A7095" s="7"/>
    </row>
    <row r="7096" spans="1:1" x14ac:dyDescent="0.25">
      <c r="A7096" s="7"/>
    </row>
    <row r="7097" spans="1:1" x14ac:dyDescent="0.25">
      <c r="A7097" s="7"/>
    </row>
    <row r="7098" spans="1:1" x14ac:dyDescent="0.25">
      <c r="A7098" s="7"/>
    </row>
    <row r="7099" spans="1:1" x14ac:dyDescent="0.25">
      <c r="A7099" s="7"/>
    </row>
    <row r="7100" spans="1:1" x14ac:dyDescent="0.25">
      <c r="A7100" s="7"/>
    </row>
    <row r="7101" spans="1:1" x14ac:dyDescent="0.25">
      <c r="A7101" s="7"/>
    </row>
    <row r="7102" spans="1:1" x14ac:dyDescent="0.25">
      <c r="A7102" s="7"/>
    </row>
    <row r="7103" spans="1:1" x14ac:dyDescent="0.25">
      <c r="A7103" s="7"/>
    </row>
    <row r="7104" spans="1:1" x14ac:dyDescent="0.25">
      <c r="A7104" s="7"/>
    </row>
    <row r="7105" spans="1:1" x14ac:dyDescent="0.25">
      <c r="A7105" s="7"/>
    </row>
    <row r="7106" spans="1:1" x14ac:dyDescent="0.25">
      <c r="A7106" s="7"/>
    </row>
    <row r="7107" spans="1:1" x14ac:dyDescent="0.25">
      <c r="A7107" s="7"/>
    </row>
    <row r="7108" spans="1:1" x14ac:dyDescent="0.25">
      <c r="A7108" s="7"/>
    </row>
    <row r="7109" spans="1:1" x14ac:dyDescent="0.25">
      <c r="A7109" s="7"/>
    </row>
    <row r="7110" spans="1:1" x14ac:dyDescent="0.25">
      <c r="A7110" s="7"/>
    </row>
    <row r="7111" spans="1:1" x14ac:dyDescent="0.25">
      <c r="A7111" s="7"/>
    </row>
    <row r="7112" spans="1:1" x14ac:dyDescent="0.25">
      <c r="A7112" s="7"/>
    </row>
    <row r="7113" spans="1:1" x14ac:dyDescent="0.25">
      <c r="A7113" s="7"/>
    </row>
    <row r="7114" spans="1:1" x14ac:dyDescent="0.25">
      <c r="A7114" s="7"/>
    </row>
    <row r="7115" spans="1:1" x14ac:dyDescent="0.25">
      <c r="A7115" s="7"/>
    </row>
    <row r="7116" spans="1:1" x14ac:dyDescent="0.25">
      <c r="A7116" s="7"/>
    </row>
    <row r="7117" spans="1:1" x14ac:dyDescent="0.25">
      <c r="A7117" s="7"/>
    </row>
    <row r="7118" spans="1:1" x14ac:dyDescent="0.25">
      <c r="A7118" s="7"/>
    </row>
    <row r="7119" spans="1:1" x14ac:dyDescent="0.25">
      <c r="A7119" s="7"/>
    </row>
    <row r="7120" spans="1:1" x14ac:dyDescent="0.25">
      <c r="A7120" s="7"/>
    </row>
    <row r="7121" spans="1:1" x14ac:dyDescent="0.25">
      <c r="A7121" s="7"/>
    </row>
    <row r="7122" spans="1:1" x14ac:dyDescent="0.25">
      <c r="A7122" s="7"/>
    </row>
    <row r="7123" spans="1:1" x14ac:dyDescent="0.25">
      <c r="A7123" s="7"/>
    </row>
    <row r="7124" spans="1:1" x14ac:dyDescent="0.25">
      <c r="A7124" s="7"/>
    </row>
    <row r="7125" spans="1:1" x14ac:dyDescent="0.25">
      <c r="A7125" s="7"/>
    </row>
    <row r="7126" spans="1:1" x14ac:dyDescent="0.25">
      <c r="A7126" s="7"/>
    </row>
    <row r="7127" spans="1:1" x14ac:dyDescent="0.25">
      <c r="A7127" s="7"/>
    </row>
    <row r="7128" spans="1:1" x14ac:dyDescent="0.25">
      <c r="A7128" s="7"/>
    </row>
    <row r="7129" spans="1:1" x14ac:dyDescent="0.25">
      <c r="A7129" s="7"/>
    </row>
    <row r="7130" spans="1:1" x14ac:dyDescent="0.25">
      <c r="A7130" s="7"/>
    </row>
    <row r="7131" spans="1:1" x14ac:dyDescent="0.25">
      <c r="A7131" s="7"/>
    </row>
    <row r="7132" spans="1:1" x14ac:dyDescent="0.25">
      <c r="A7132" s="7"/>
    </row>
    <row r="7133" spans="1:1" x14ac:dyDescent="0.25">
      <c r="A7133" s="7"/>
    </row>
    <row r="7134" spans="1:1" x14ac:dyDescent="0.25">
      <c r="A7134" s="7"/>
    </row>
    <row r="7135" spans="1:1" x14ac:dyDescent="0.25">
      <c r="A7135" s="7"/>
    </row>
    <row r="7136" spans="1:1" x14ac:dyDescent="0.25">
      <c r="A7136" s="7"/>
    </row>
    <row r="7137" spans="1:1" x14ac:dyDescent="0.25">
      <c r="A7137" s="7"/>
    </row>
    <row r="7138" spans="1:1" x14ac:dyDescent="0.25">
      <c r="A7138" s="7"/>
    </row>
    <row r="7139" spans="1:1" x14ac:dyDescent="0.25">
      <c r="A7139" s="7"/>
    </row>
    <row r="7140" spans="1:1" x14ac:dyDescent="0.25">
      <c r="A7140" s="7"/>
    </row>
    <row r="7141" spans="1:1" x14ac:dyDescent="0.25">
      <c r="A7141" s="7"/>
    </row>
    <row r="7142" spans="1:1" x14ac:dyDescent="0.25">
      <c r="A7142" s="7"/>
    </row>
    <row r="7143" spans="1:1" x14ac:dyDescent="0.25">
      <c r="A7143" s="7"/>
    </row>
    <row r="7144" spans="1:1" x14ac:dyDescent="0.25">
      <c r="A7144" s="7"/>
    </row>
    <row r="7145" spans="1:1" x14ac:dyDescent="0.25">
      <c r="A7145" s="7"/>
    </row>
    <row r="7146" spans="1:1" x14ac:dyDescent="0.25">
      <c r="A7146" s="7"/>
    </row>
    <row r="7147" spans="1:1" x14ac:dyDescent="0.25">
      <c r="A7147" s="7"/>
    </row>
    <row r="7148" spans="1:1" x14ac:dyDescent="0.25">
      <c r="A7148" s="7"/>
    </row>
    <row r="7149" spans="1:1" x14ac:dyDescent="0.25">
      <c r="A7149" s="7"/>
    </row>
    <row r="7150" spans="1:1" x14ac:dyDescent="0.25">
      <c r="A7150" s="7"/>
    </row>
    <row r="7151" spans="1:1" x14ac:dyDescent="0.25">
      <c r="A7151" s="7"/>
    </row>
    <row r="7152" spans="1:1" x14ac:dyDescent="0.25">
      <c r="A7152" s="7"/>
    </row>
    <row r="7153" spans="1:1" x14ac:dyDescent="0.25">
      <c r="A7153" s="7"/>
    </row>
    <row r="7154" spans="1:1" x14ac:dyDescent="0.25">
      <c r="A7154" s="7"/>
    </row>
    <row r="7155" spans="1:1" x14ac:dyDescent="0.25">
      <c r="A7155" s="7"/>
    </row>
    <row r="7156" spans="1:1" x14ac:dyDescent="0.25">
      <c r="A7156" s="7"/>
    </row>
    <row r="7157" spans="1:1" x14ac:dyDescent="0.25">
      <c r="A7157" s="7"/>
    </row>
    <row r="7158" spans="1:1" x14ac:dyDescent="0.25">
      <c r="A7158" s="7"/>
    </row>
    <row r="7159" spans="1:1" x14ac:dyDescent="0.25">
      <c r="A7159" s="7"/>
    </row>
    <row r="7160" spans="1:1" x14ac:dyDescent="0.25">
      <c r="A7160" s="7"/>
    </row>
    <row r="7161" spans="1:1" x14ac:dyDescent="0.25">
      <c r="A7161" s="7"/>
    </row>
    <row r="7162" spans="1:1" x14ac:dyDescent="0.25">
      <c r="A7162" s="7"/>
    </row>
    <row r="7163" spans="1:1" x14ac:dyDescent="0.25">
      <c r="A7163" s="7"/>
    </row>
    <row r="7164" spans="1:1" x14ac:dyDescent="0.25">
      <c r="A7164" s="7"/>
    </row>
    <row r="7165" spans="1:1" x14ac:dyDescent="0.25">
      <c r="A7165" s="7"/>
    </row>
    <row r="7166" spans="1:1" x14ac:dyDescent="0.25">
      <c r="A7166" s="7"/>
    </row>
    <row r="7167" spans="1:1" x14ac:dyDescent="0.25">
      <c r="A7167" s="7"/>
    </row>
    <row r="7168" spans="1:1" x14ac:dyDescent="0.25">
      <c r="A7168" s="7"/>
    </row>
    <row r="7169" spans="1:1" x14ac:dyDescent="0.25">
      <c r="A7169" s="7"/>
    </row>
    <row r="7170" spans="1:1" x14ac:dyDescent="0.25">
      <c r="A7170" s="7"/>
    </row>
    <row r="7171" spans="1:1" x14ac:dyDescent="0.25">
      <c r="A7171" s="7"/>
    </row>
    <row r="7172" spans="1:1" x14ac:dyDescent="0.25">
      <c r="A7172" s="7"/>
    </row>
    <row r="7173" spans="1:1" x14ac:dyDescent="0.25">
      <c r="A7173" s="7"/>
    </row>
    <row r="7174" spans="1:1" x14ac:dyDescent="0.25">
      <c r="A7174" s="7"/>
    </row>
    <row r="7175" spans="1:1" x14ac:dyDescent="0.25">
      <c r="A7175" s="7"/>
    </row>
    <row r="7176" spans="1:1" x14ac:dyDescent="0.25">
      <c r="A7176" s="7"/>
    </row>
    <row r="7177" spans="1:1" x14ac:dyDescent="0.25">
      <c r="A7177" s="7"/>
    </row>
    <row r="7178" spans="1:1" x14ac:dyDescent="0.25">
      <c r="A7178" s="7"/>
    </row>
    <row r="7179" spans="1:1" x14ac:dyDescent="0.25">
      <c r="A7179" s="7"/>
    </row>
    <row r="7180" spans="1:1" x14ac:dyDescent="0.25">
      <c r="A7180" s="7"/>
    </row>
    <row r="7181" spans="1:1" x14ac:dyDescent="0.25">
      <c r="A7181" s="7"/>
    </row>
    <row r="7182" spans="1:1" x14ac:dyDescent="0.25">
      <c r="A7182" s="7"/>
    </row>
    <row r="7183" spans="1:1" x14ac:dyDescent="0.25">
      <c r="A7183" s="7"/>
    </row>
    <row r="7184" spans="1:1" x14ac:dyDescent="0.25">
      <c r="A7184" s="7"/>
    </row>
    <row r="7185" spans="1:1" x14ac:dyDescent="0.25">
      <c r="A7185" s="7"/>
    </row>
    <row r="7186" spans="1:1" x14ac:dyDescent="0.25">
      <c r="A7186" s="7"/>
    </row>
    <row r="7187" spans="1:1" x14ac:dyDescent="0.25">
      <c r="A7187" s="7"/>
    </row>
    <row r="7188" spans="1:1" x14ac:dyDescent="0.25">
      <c r="A7188" s="7"/>
    </row>
    <row r="7189" spans="1:1" x14ac:dyDescent="0.25">
      <c r="A7189" s="7"/>
    </row>
    <row r="7190" spans="1:1" x14ac:dyDescent="0.25">
      <c r="A7190" s="7"/>
    </row>
    <row r="7191" spans="1:1" x14ac:dyDescent="0.25">
      <c r="A7191" s="7"/>
    </row>
    <row r="7192" spans="1:1" x14ac:dyDescent="0.25">
      <c r="A7192" s="7"/>
    </row>
    <row r="7193" spans="1:1" x14ac:dyDescent="0.25">
      <c r="A7193" s="7"/>
    </row>
    <row r="7194" spans="1:1" x14ac:dyDescent="0.25">
      <c r="A7194" s="7"/>
    </row>
    <row r="7195" spans="1:1" x14ac:dyDescent="0.25">
      <c r="A7195" s="7"/>
    </row>
    <row r="7196" spans="1:1" x14ac:dyDescent="0.25">
      <c r="A7196" s="7"/>
    </row>
    <row r="7197" spans="1:1" x14ac:dyDescent="0.25">
      <c r="A7197" s="7"/>
    </row>
    <row r="7198" spans="1:1" x14ac:dyDescent="0.25">
      <c r="A7198" s="7"/>
    </row>
    <row r="7199" spans="1:1" x14ac:dyDescent="0.25">
      <c r="A7199" s="7"/>
    </row>
    <row r="7200" spans="1:1" x14ac:dyDescent="0.25">
      <c r="A7200" s="7"/>
    </row>
    <row r="7201" spans="1:1" x14ac:dyDescent="0.25">
      <c r="A7201" s="7"/>
    </row>
    <row r="7202" spans="1:1" x14ac:dyDescent="0.25">
      <c r="A7202" s="7"/>
    </row>
    <row r="7203" spans="1:1" x14ac:dyDescent="0.25">
      <c r="A7203" s="7"/>
    </row>
    <row r="7204" spans="1:1" x14ac:dyDescent="0.25">
      <c r="A7204" s="7"/>
    </row>
    <row r="7205" spans="1:1" x14ac:dyDescent="0.25">
      <c r="A7205" s="7"/>
    </row>
    <row r="7206" spans="1:1" x14ac:dyDescent="0.25">
      <c r="A7206" s="7"/>
    </row>
    <row r="7207" spans="1:1" x14ac:dyDescent="0.25">
      <c r="A7207" s="7"/>
    </row>
    <row r="7208" spans="1:1" x14ac:dyDescent="0.25">
      <c r="A7208" s="7"/>
    </row>
    <row r="7209" spans="1:1" x14ac:dyDescent="0.25">
      <c r="A7209" s="7"/>
    </row>
    <row r="7210" spans="1:1" x14ac:dyDescent="0.25">
      <c r="A7210" s="7"/>
    </row>
    <row r="7211" spans="1:1" x14ac:dyDescent="0.25">
      <c r="A7211" s="7"/>
    </row>
    <row r="7212" spans="1:1" x14ac:dyDescent="0.25">
      <c r="A7212" s="7"/>
    </row>
    <row r="7213" spans="1:1" x14ac:dyDescent="0.25">
      <c r="A7213" s="7"/>
    </row>
    <row r="7214" spans="1:1" x14ac:dyDescent="0.25">
      <c r="A7214" s="7"/>
    </row>
    <row r="7215" spans="1:1" x14ac:dyDescent="0.25">
      <c r="A7215" s="7"/>
    </row>
    <row r="7216" spans="1:1" x14ac:dyDescent="0.25">
      <c r="A7216" s="7"/>
    </row>
    <row r="7217" spans="1:1" x14ac:dyDescent="0.25">
      <c r="A7217" s="7"/>
    </row>
    <row r="7218" spans="1:1" x14ac:dyDescent="0.25">
      <c r="A7218" s="7"/>
    </row>
    <row r="7219" spans="1:1" x14ac:dyDescent="0.25">
      <c r="A7219" s="7"/>
    </row>
    <row r="7220" spans="1:1" x14ac:dyDescent="0.25">
      <c r="A7220" s="7"/>
    </row>
    <row r="7221" spans="1:1" x14ac:dyDescent="0.25">
      <c r="A7221" s="7"/>
    </row>
    <row r="7222" spans="1:1" x14ac:dyDescent="0.25">
      <c r="A7222" s="7"/>
    </row>
    <row r="7223" spans="1:1" x14ac:dyDescent="0.25">
      <c r="A7223" s="7"/>
    </row>
    <row r="7224" spans="1:1" x14ac:dyDescent="0.25">
      <c r="A7224" s="7"/>
    </row>
    <row r="7225" spans="1:1" x14ac:dyDescent="0.25">
      <c r="A7225" s="7"/>
    </row>
    <row r="7226" spans="1:1" x14ac:dyDescent="0.25">
      <c r="A7226" s="7"/>
    </row>
    <row r="7227" spans="1:1" x14ac:dyDescent="0.25">
      <c r="A7227" s="7"/>
    </row>
    <row r="7228" spans="1:1" x14ac:dyDescent="0.25">
      <c r="A7228" s="7"/>
    </row>
    <row r="7229" spans="1:1" x14ac:dyDescent="0.25">
      <c r="A7229" s="7"/>
    </row>
    <row r="7230" spans="1:1" x14ac:dyDescent="0.25">
      <c r="A7230" s="7"/>
    </row>
    <row r="7231" spans="1:1" x14ac:dyDescent="0.25">
      <c r="A7231" s="7"/>
    </row>
    <row r="7232" spans="1:1" x14ac:dyDescent="0.25">
      <c r="A7232" s="7"/>
    </row>
    <row r="7233" spans="1:1" x14ac:dyDescent="0.25">
      <c r="A7233" s="7"/>
    </row>
    <row r="7234" spans="1:1" x14ac:dyDescent="0.25">
      <c r="A7234" s="7"/>
    </row>
    <row r="7235" spans="1:1" x14ac:dyDescent="0.25">
      <c r="A7235" s="7"/>
    </row>
    <row r="7236" spans="1:1" x14ac:dyDescent="0.25">
      <c r="A7236" s="7"/>
    </row>
    <row r="7237" spans="1:1" x14ac:dyDescent="0.25">
      <c r="A7237" s="7"/>
    </row>
    <row r="7238" spans="1:1" x14ac:dyDescent="0.25">
      <c r="A7238" s="7"/>
    </row>
    <row r="7239" spans="1:1" x14ac:dyDescent="0.25">
      <c r="A7239" s="7"/>
    </row>
    <row r="7240" spans="1:1" x14ac:dyDescent="0.25">
      <c r="A7240" s="7"/>
    </row>
    <row r="7241" spans="1:1" x14ac:dyDescent="0.25">
      <c r="A7241" s="7"/>
    </row>
    <row r="7242" spans="1:1" x14ac:dyDescent="0.25">
      <c r="A7242" s="7"/>
    </row>
    <row r="7243" spans="1:1" x14ac:dyDescent="0.25">
      <c r="A7243" s="7"/>
    </row>
    <row r="7244" spans="1:1" x14ac:dyDescent="0.25">
      <c r="A7244" s="7"/>
    </row>
    <row r="7245" spans="1:1" x14ac:dyDescent="0.25">
      <c r="A7245" s="7"/>
    </row>
    <row r="7246" spans="1:1" x14ac:dyDescent="0.25">
      <c r="A7246" s="7"/>
    </row>
    <row r="7247" spans="1:1" x14ac:dyDescent="0.25">
      <c r="A7247" s="7"/>
    </row>
    <row r="7248" spans="1:1" x14ac:dyDescent="0.25">
      <c r="A7248" s="7"/>
    </row>
    <row r="7249" spans="1:1" x14ac:dyDescent="0.25">
      <c r="A7249" s="7"/>
    </row>
    <row r="7250" spans="1:1" x14ac:dyDescent="0.25">
      <c r="A7250" s="7"/>
    </row>
    <row r="7251" spans="1:1" x14ac:dyDescent="0.25">
      <c r="A7251" s="7"/>
    </row>
    <row r="7252" spans="1:1" x14ac:dyDescent="0.25">
      <c r="A7252" s="7"/>
    </row>
    <row r="7253" spans="1:1" x14ac:dyDescent="0.25">
      <c r="A7253" s="7"/>
    </row>
    <row r="7254" spans="1:1" x14ac:dyDescent="0.25">
      <c r="A7254" s="7"/>
    </row>
    <row r="7255" spans="1:1" x14ac:dyDescent="0.25">
      <c r="A7255" s="7"/>
    </row>
    <row r="7256" spans="1:1" x14ac:dyDescent="0.25">
      <c r="A7256" s="7"/>
    </row>
    <row r="7257" spans="1:1" x14ac:dyDescent="0.25">
      <c r="A7257" s="7"/>
    </row>
    <row r="7258" spans="1:1" x14ac:dyDescent="0.25">
      <c r="A7258" s="7"/>
    </row>
    <row r="7259" spans="1:1" x14ac:dyDescent="0.25">
      <c r="A7259" s="7"/>
    </row>
    <row r="7260" spans="1:1" x14ac:dyDescent="0.25">
      <c r="A7260" s="7"/>
    </row>
    <row r="7261" spans="1:1" x14ac:dyDescent="0.25">
      <c r="A7261" s="7"/>
    </row>
    <row r="7262" spans="1:1" x14ac:dyDescent="0.25">
      <c r="A7262" s="7"/>
    </row>
    <row r="7263" spans="1:1" x14ac:dyDescent="0.25">
      <c r="A7263" s="7"/>
    </row>
    <row r="7264" spans="1:1" x14ac:dyDescent="0.25">
      <c r="A7264" s="7"/>
    </row>
    <row r="7265" spans="1:1" x14ac:dyDescent="0.25">
      <c r="A7265" s="7"/>
    </row>
    <row r="7266" spans="1:1" x14ac:dyDescent="0.25">
      <c r="A7266" s="7"/>
    </row>
    <row r="7267" spans="1:1" x14ac:dyDescent="0.25">
      <c r="A7267" s="7"/>
    </row>
    <row r="7268" spans="1:1" x14ac:dyDescent="0.25">
      <c r="A7268" s="7"/>
    </row>
    <row r="7269" spans="1:1" x14ac:dyDescent="0.25">
      <c r="A7269" s="7"/>
    </row>
    <row r="7270" spans="1:1" x14ac:dyDescent="0.25">
      <c r="A7270" s="7"/>
    </row>
    <row r="7271" spans="1:1" x14ac:dyDescent="0.25">
      <c r="A7271" s="7"/>
    </row>
    <row r="7272" spans="1:1" x14ac:dyDescent="0.25">
      <c r="A7272" s="7"/>
    </row>
    <row r="7273" spans="1:1" x14ac:dyDescent="0.25">
      <c r="A7273" s="7"/>
    </row>
    <row r="7274" spans="1:1" x14ac:dyDescent="0.25">
      <c r="A7274" s="7"/>
    </row>
    <row r="7275" spans="1:1" x14ac:dyDescent="0.25">
      <c r="A7275" s="7"/>
    </row>
    <row r="7276" spans="1:1" x14ac:dyDescent="0.25">
      <c r="A7276" s="7"/>
    </row>
    <row r="7277" spans="1:1" x14ac:dyDescent="0.25">
      <c r="A7277" s="7"/>
    </row>
    <row r="7278" spans="1:1" x14ac:dyDescent="0.25">
      <c r="A7278" s="7"/>
    </row>
    <row r="7279" spans="1:1" x14ac:dyDescent="0.25">
      <c r="A7279" s="7"/>
    </row>
    <row r="7280" spans="1:1" x14ac:dyDescent="0.25">
      <c r="A7280" s="7"/>
    </row>
    <row r="7281" spans="1:1" x14ac:dyDescent="0.25">
      <c r="A7281" s="7"/>
    </row>
    <row r="7282" spans="1:1" x14ac:dyDescent="0.25">
      <c r="A7282" s="7"/>
    </row>
    <row r="7283" spans="1:1" x14ac:dyDescent="0.25">
      <c r="A7283" s="7"/>
    </row>
    <row r="7284" spans="1:1" x14ac:dyDescent="0.25">
      <c r="A7284" s="7"/>
    </row>
    <row r="7285" spans="1:1" x14ac:dyDescent="0.25">
      <c r="A7285" s="7"/>
    </row>
    <row r="7286" spans="1:1" x14ac:dyDescent="0.25">
      <c r="A7286" s="7"/>
    </row>
    <row r="7287" spans="1:1" x14ac:dyDescent="0.25">
      <c r="A7287" s="7"/>
    </row>
    <row r="7288" spans="1:1" x14ac:dyDescent="0.25">
      <c r="A7288" s="7"/>
    </row>
    <row r="7289" spans="1:1" x14ac:dyDescent="0.25">
      <c r="A7289" s="7"/>
    </row>
    <row r="7290" spans="1:1" x14ac:dyDescent="0.25">
      <c r="A7290" s="7"/>
    </row>
    <row r="7291" spans="1:1" x14ac:dyDescent="0.25">
      <c r="A7291" s="7"/>
    </row>
    <row r="7292" spans="1:1" x14ac:dyDescent="0.25">
      <c r="A7292" s="7"/>
    </row>
    <row r="7293" spans="1:1" x14ac:dyDescent="0.25">
      <c r="A7293" s="7"/>
    </row>
    <row r="7294" spans="1:1" x14ac:dyDescent="0.25">
      <c r="A7294" s="7"/>
    </row>
    <row r="7295" spans="1:1" x14ac:dyDescent="0.25">
      <c r="A7295" s="7"/>
    </row>
    <row r="7296" spans="1:1" x14ac:dyDescent="0.25">
      <c r="A7296" s="7"/>
    </row>
    <row r="7297" spans="1:1" x14ac:dyDescent="0.25">
      <c r="A7297" s="7"/>
    </row>
    <row r="7298" spans="1:1" x14ac:dyDescent="0.25">
      <c r="A7298" s="7"/>
    </row>
    <row r="7299" spans="1:1" x14ac:dyDescent="0.25">
      <c r="A7299" s="7"/>
    </row>
    <row r="7300" spans="1:1" x14ac:dyDescent="0.25">
      <c r="A7300" s="7"/>
    </row>
    <row r="7301" spans="1:1" x14ac:dyDescent="0.25">
      <c r="A7301" s="7"/>
    </row>
    <row r="7302" spans="1:1" x14ac:dyDescent="0.25">
      <c r="A7302" s="7"/>
    </row>
    <row r="7303" spans="1:1" x14ac:dyDescent="0.25">
      <c r="A7303" s="7"/>
    </row>
    <row r="7304" spans="1:1" x14ac:dyDescent="0.25">
      <c r="A7304" s="7"/>
    </row>
    <row r="7305" spans="1:1" x14ac:dyDescent="0.25">
      <c r="A7305" s="7"/>
    </row>
    <row r="7306" spans="1:1" x14ac:dyDescent="0.25">
      <c r="A7306" s="7"/>
    </row>
    <row r="7307" spans="1:1" x14ac:dyDescent="0.25">
      <c r="A7307" s="7"/>
    </row>
    <row r="7308" spans="1:1" x14ac:dyDescent="0.25">
      <c r="A7308" s="7"/>
    </row>
    <row r="7309" spans="1:1" x14ac:dyDescent="0.25">
      <c r="A7309" s="7"/>
    </row>
    <row r="7310" spans="1:1" x14ac:dyDescent="0.25">
      <c r="A7310" s="7"/>
    </row>
    <row r="7311" spans="1:1" x14ac:dyDescent="0.25">
      <c r="A7311" s="7"/>
    </row>
    <row r="7312" spans="1:1" x14ac:dyDescent="0.25">
      <c r="A7312" s="7"/>
    </row>
    <row r="7313" spans="1:1" x14ac:dyDescent="0.25">
      <c r="A7313" s="7"/>
    </row>
    <row r="7314" spans="1:1" x14ac:dyDescent="0.25">
      <c r="A7314" s="7"/>
    </row>
    <row r="7315" spans="1:1" x14ac:dyDescent="0.25">
      <c r="A7315" s="7"/>
    </row>
    <row r="7316" spans="1:1" x14ac:dyDescent="0.25">
      <c r="A7316" s="7"/>
    </row>
    <row r="7317" spans="1:1" x14ac:dyDescent="0.25">
      <c r="A7317" s="7"/>
    </row>
    <row r="7318" spans="1:1" x14ac:dyDescent="0.25">
      <c r="A7318" s="7"/>
    </row>
    <row r="7319" spans="1:1" x14ac:dyDescent="0.25">
      <c r="A7319" s="7"/>
    </row>
    <row r="7320" spans="1:1" x14ac:dyDescent="0.25">
      <c r="A7320" s="7"/>
    </row>
    <row r="7321" spans="1:1" x14ac:dyDescent="0.25">
      <c r="A7321" s="7"/>
    </row>
    <row r="7322" spans="1:1" x14ac:dyDescent="0.25">
      <c r="A7322" s="7"/>
    </row>
    <row r="7323" spans="1:1" x14ac:dyDescent="0.25">
      <c r="A7323" s="7"/>
    </row>
    <row r="7324" spans="1:1" x14ac:dyDescent="0.25">
      <c r="A7324" s="7"/>
    </row>
    <row r="7325" spans="1:1" x14ac:dyDescent="0.25">
      <c r="A7325" s="7"/>
    </row>
    <row r="7326" spans="1:1" x14ac:dyDescent="0.25">
      <c r="A7326" s="7"/>
    </row>
    <row r="7327" spans="1:1" x14ac:dyDescent="0.25">
      <c r="A7327" s="7"/>
    </row>
    <row r="7328" spans="1:1" x14ac:dyDescent="0.25">
      <c r="A7328" s="7"/>
    </row>
    <row r="7329" spans="1:1" x14ac:dyDescent="0.25">
      <c r="A7329" s="7"/>
    </row>
    <row r="7330" spans="1:1" x14ac:dyDescent="0.25">
      <c r="A7330" s="7"/>
    </row>
    <row r="7331" spans="1:1" x14ac:dyDescent="0.25">
      <c r="A7331" s="7"/>
    </row>
    <row r="7332" spans="1:1" x14ac:dyDescent="0.25">
      <c r="A7332" s="7"/>
    </row>
    <row r="7333" spans="1:1" x14ac:dyDescent="0.25">
      <c r="A7333" s="7"/>
    </row>
    <row r="7334" spans="1:1" x14ac:dyDescent="0.25">
      <c r="A7334" s="7"/>
    </row>
    <row r="7335" spans="1:1" x14ac:dyDescent="0.25">
      <c r="A7335" s="7"/>
    </row>
    <row r="7336" spans="1:1" x14ac:dyDescent="0.25">
      <c r="A7336" s="7"/>
    </row>
    <row r="7337" spans="1:1" x14ac:dyDescent="0.25">
      <c r="A7337" s="7"/>
    </row>
    <row r="7338" spans="1:1" x14ac:dyDescent="0.25">
      <c r="A7338" s="7"/>
    </row>
    <row r="7339" spans="1:1" x14ac:dyDescent="0.25">
      <c r="A7339" s="7"/>
    </row>
    <row r="7340" spans="1:1" x14ac:dyDescent="0.25">
      <c r="A7340" s="7"/>
    </row>
    <row r="7341" spans="1:1" x14ac:dyDescent="0.25">
      <c r="A7341" s="7"/>
    </row>
    <row r="7342" spans="1:1" x14ac:dyDescent="0.25">
      <c r="A7342" s="7"/>
    </row>
    <row r="7343" spans="1:1" x14ac:dyDescent="0.25">
      <c r="A7343" s="7"/>
    </row>
    <row r="7344" spans="1:1" x14ac:dyDescent="0.25">
      <c r="A7344" s="7"/>
    </row>
    <row r="7345" spans="1:1" x14ac:dyDescent="0.25">
      <c r="A7345" s="7"/>
    </row>
    <row r="7346" spans="1:1" x14ac:dyDescent="0.25">
      <c r="A7346" s="7"/>
    </row>
    <row r="7347" spans="1:1" x14ac:dyDescent="0.25">
      <c r="A7347" s="7"/>
    </row>
    <row r="7348" spans="1:1" x14ac:dyDescent="0.25">
      <c r="A7348" s="7"/>
    </row>
    <row r="7349" spans="1:1" x14ac:dyDescent="0.25">
      <c r="A7349" s="7"/>
    </row>
    <row r="7350" spans="1:1" x14ac:dyDescent="0.25">
      <c r="A7350" s="7"/>
    </row>
    <row r="7351" spans="1:1" x14ac:dyDescent="0.25">
      <c r="A7351" s="7"/>
    </row>
    <row r="7352" spans="1:1" x14ac:dyDescent="0.25">
      <c r="A7352" s="7"/>
    </row>
    <row r="7353" spans="1:1" x14ac:dyDescent="0.25">
      <c r="A7353" s="7"/>
    </row>
    <row r="7354" spans="1:1" x14ac:dyDescent="0.25">
      <c r="A7354" s="7"/>
    </row>
    <row r="7355" spans="1:1" x14ac:dyDescent="0.25">
      <c r="A7355" s="7"/>
    </row>
    <row r="7356" spans="1:1" x14ac:dyDescent="0.25">
      <c r="A7356" s="7"/>
    </row>
    <row r="7357" spans="1:1" x14ac:dyDescent="0.25">
      <c r="A7357" s="7"/>
    </row>
    <row r="7358" spans="1:1" x14ac:dyDescent="0.25">
      <c r="A7358" s="7"/>
    </row>
    <row r="7359" spans="1:1" x14ac:dyDescent="0.25">
      <c r="A7359" s="7"/>
    </row>
    <row r="7360" spans="1:1" x14ac:dyDescent="0.25">
      <c r="A7360" s="7"/>
    </row>
    <row r="7361" spans="1:1" x14ac:dyDescent="0.25">
      <c r="A7361" s="7"/>
    </row>
    <row r="7362" spans="1:1" x14ac:dyDescent="0.25">
      <c r="A7362" s="7"/>
    </row>
    <row r="7363" spans="1:1" x14ac:dyDescent="0.25">
      <c r="A7363" s="7"/>
    </row>
    <row r="7364" spans="1:1" x14ac:dyDescent="0.25">
      <c r="A7364" s="7"/>
    </row>
    <row r="7365" spans="1:1" x14ac:dyDescent="0.25">
      <c r="A7365" s="7"/>
    </row>
    <row r="7366" spans="1:1" x14ac:dyDescent="0.25">
      <c r="A7366" s="7"/>
    </row>
    <row r="7367" spans="1:1" x14ac:dyDescent="0.25">
      <c r="A7367" s="7"/>
    </row>
    <row r="7368" spans="1:1" x14ac:dyDescent="0.25">
      <c r="A7368" s="7"/>
    </row>
    <row r="7369" spans="1:1" x14ac:dyDescent="0.25">
      <c r="A7369" s="7"/>
    </row>
    <row r="7370" spans="1:1" x14ac:dyDescent="0.25">
      <c r="A7370" s="7"/>
    </row>
    <row r="7371" spans="1:1" x14ac:dyDescent="0.25">
      <c r="A7371" s="7"/>
    </row>
    <row r="7372" spans="1:1" x14ac:dyDescent="0.25">
      <c r="A7372" s="7"/>
    </row>
    <row r="7373" spans="1:1" x14ac:dyDescent="0.25">
      <c r="A7373" s="7"/>
    </row>
    <row r="7374" spans="1:1" x14ac:dyDescent="0.25">
      <c r="A7374" s="7"/>
    </row>
    <row r="7375" spans="1:1" x14ac:dyDescent="0.25">
      <c r="A7375" s="7"/>
    </row>
    <row r="7376" spans="1:1" x14ac:dyDescent="0.25">
      <c r="A7376" s="7"/>
    </row>
    <row r="7377" spans="1:1" x14ac:dyDescent="0.25">
      <c r="A7377" s="7"/>
    </row>
    <row r="7378" spans="1:1" x14ac:dyDescent="0.25">
      <c r="A7378" s="7"/>
    </row>
    <row r="7379" spans="1:1" x14ac:dyDescent="0.25">
      <c r="A7379" s="7"/>
    </row>
    <row r="7380" spans="1:1" x14ac:dyDescent="0.25">
      <c r="A7380" s="7"/>
    </row>
    <row r="7381" spans="1:1" x14ac:dyDescent="0.25">
      <c r="A7381" s="7"/>
    </row>
    <row r="7382" spans="1:1" x14ac:dyDescent="0.25">
      <c r="A7382" s="7"/>
    </row>
    <row r="7383" spans="1:1" x14ac:dyDescent="0.25">
      <c r="A7383" s="7"/>
    </row>
    <row r="7384" spans="1:1" x14ac:dyDescent="0.25">
      <c r="A7384" s="7"/>
    </row>
    <row r="7385" spans="1:1" x14ac:dyDescent="0.25">
      <c r="A7385" s="7"/>
    </row>
    <row r="7386" spans="1:1" x14ac:dyDescent="0.25">
      <c r="A7386" s="7"/>
    </row>
    <row r="7387" spans="1:1" x14ac:dyDescent="0.25">
      <c r="A7387" s="7"/>
    </row>
    <row r="7388" spans="1:1" x14ac:dyDescent="0.25">
      <c r="A7388" s="7"/>
    </row>
    <row r="7389" spans="1:1" x14ac:dyDescent="0.25">
      <c r="A7389" s="7"/>
    </row>
    <row r="7390" spans="1:1" x14ac:dyDescent="0.25">
      <c r="A7390" s="7"/>
    </row>
    <row r="7391" spans="1:1" x14ac:dyDescent="0.25">
      <c r="A7391" s="7"/>
    </row>
    <row r="7392" spans="1:1" x14ac:dyDescent="0.25">
      <c r="A7392" s="7"/>
    </row>
    <row r="7393" spans="1:1" x14ac:dyDescent="0.25">
      <c r="A7393" s="7"/>
    </row>
    <row r="7394" spans="1:1" x14ac:dyDescent="0.25">
      <c r="A7394" s="7"/>
    </row>
    <row r="7395" spans="1:1" x14ac:dyDescent="0.25">
      <c r="A7395" s="7"/>
    </row>
    <row r="7396" spans="1:1" x14ac:dyDescent="0.25">
      <c r="A7396" s="7"/>
    </row>
    <row r="7397" spans="1:1" x14ac:dyDescent="0.25">
      <c r="A7397" s="7"/>
    </row>
    <row r="7398" spans="1:1" x14ac:dyDescent="0.25">
      <c r="A7398" s="7"/>
    </row>
    <row r="7399" spans="1:1" x14ac:dyDescent="0.25">
      <c r="A7399" s="7"/>
    </row>
    <row r="7400" spans="1:1" x14ac:dyDescent="0.25">
      <c r="A7400" s="7"/>
    </row>
    <row r="7401" spans="1:1" x14ac:dyDescent="0.25">
      <c r="A7401" s="7"/>
    </row>
    <row r="7402" spans="1:1" x14ac:dyDescent="0.25">
      <c r="A7402" s="7"/>
    </row>
    <row r="7403" spans="1:1" x14ac:dyDescent="0.25">
      <c r="A7403" s="7"/>
    </row>
    <row r="7404" spans="1:1" x14ac:dyDescent="0.25">
      <c r="A7404" s="7"/>
    </row>
    <row r="7405" spans="1:1" x14ac:dyDescent="0.25">
      <c r="A7405" s="7"/>
    </row>
    <row r="7406" spans="1:1" x14ac:dyDescent="0.25">
      <c r="A7406" s="7"/>
    </row>
    <row r="7407" spans="1:1" x14ac:dyDescent="0.25">
      <c r="A7407" s="7"/>
    </row>
    <row r="7408" spans="1:1" x14ac:dyDescent="0.25">
      <c r="A7408" s="7"/>
    </row>
    <row r="7409" spans="1:1" x14ac:dyDescent="0.25">
      <c r="A7409" s="7"/>
    </row>
    <row r="7410" spans="1:1" x14ac:dyDescent="0.25">
      <c r="A7410" s="7"/>
    </row>
    <row r="7411" spans="1:1" x14ac:dyDescent="0.25">
      <c r="A7411" s="7"/>
    </row>
    <row r="7412" spans="1:1" x14ac:dyDescent="0.25">
      <c r="A7412" s="7"/>
    </row>
    <row r="7413" spans="1:1" x14ac:dyDescent="0.25">
      <c r="A7413" s="7"/>
    </row>
    <row r="7414" spans="1:1" x14ac:dyDescent="0.25">
      <c r="A7414" s="7"/>
    </row>
    <row r="7415" spans="1:1" x14ac:dyDescent="0.25">
      <c r="A7415" s="7"/>
    </row>
    <row r="7416" spans="1:1" x14ac:dyDescent="0.25">
      <c r="A7416" s="7"/>
    </row>
    <row r="7417" spans="1:1" x14ac:dyDescent="0.25">
      <c r="A7417" s="7"/>
    </row>
    <row r="7418" spans="1:1" x14ac:dyDescent="0.25">
      <c r="A7418" s="7"/>
    </row>
    <row r="7419" spans="1:1" x14ac:dyDescent="0.25">
      <c r="A7419" s="7"/>
    </row>
    <row r="7420" spans="1:1" x14ac:dyDescent="0.25">
      <c r="A7420" s="7"/>
    </row>
    <row r="7421" spans="1:1" x14ac:dyDescent="0.25">
      <c r="A7421" s="7"/>
    </row>
    <row r="7422" spans="1:1" x14ac:dyDescent="0.25">
      <c r="A7422" s="7"/>
    </row>
    <row r="7423" spans="1:1" x14ac:dyDescent="0.25">
      <c r="A7423" s="7"/>
    </row>
    <row r="7424" spans="1:1" x14ac:dyDescent="0.25">
      <c r="A7424" s="7"/>
    </row>
    <row r="7425" spans="1:1" x14ac:dyDescent="0.25">
      <c r="A7425" s="7"/>
    </row>
    <row r="7426" spans="1:1" x14ac:dyDescent="0.25">
      <c r="A7426" s="7"/>
    </row>
    <row r="7427" spans="1:1" x14ac:dyDescent="0.25">
      <c r="A7427" s="7"/>
    </row>
    <row r="7428" spans="1:1" x14ac:dyDescent="0.25">
      <c r="A7428" s="7"/>
    </row>
    <row r="7429" spans="1:1" x14ac:dyDescent="0.25">
      <c r="A7429" s="7"/>
    </row>
    <row r="7430" spans="1:1" x14ac:dyDescent="0.25">
      <c r="A7430" s="7"/>
    </row>
    <row r="7431" spans="1:1" x14ac:dyDescent="0.25">
      <c r="A7431" s="7"/>
    </row>
    <row r="7432" spans="1:1" x14ac:dyDescent="0.25">
      <c r="A7432" s="7"/>
    </row>
    <row r="7433" spans="1:1" x14ac:dyDescent="0.25">
      <c r="A7433" s="7"/>
    </row>
    <row r="7434" spans="1:1" x14ac:dyDescent="0.25">
      <c r="A7434" s="7"/>
    </row>
    <row r="7435" spans="1:1" x14ac:dyDescent="0.25">
      <c r="A7435" s="7"/>
    </row>
    <row r="7436" spans="1:1" x14ac:dyDescent="0.25">
      <c r="A7436" s="7"/>
    </row>
    <row r="7437" spans="1:1" x14ac:dyDescent="0.25">
      <c r="A7437" s="7"/>
    </row>
    <row r="7438" spans="1:1" x14ac:dyDescent="0.25">
      <c r="A7438" s="7"/>
    </row>
    <row r="7439" spans="1:1" x14ac:dyDescent="0.25">
      <c r="A7439" s="7"/>
    </row>
    <row r="7440" spans="1:1" x14ac:dyDescent="0.25">
      <c r="A7440" s="7"/>
    </row>
    <row r="7441" spans="1:1" x14ac:dyDescent="0.25">
      <c r="A7441" s="7"/>
    </row>
    <row r="7442" spans="1:1" x14ac:dyDescent="0.25">
      <c r="A7442" s="7"/>
    </row>
    <row r="7443" spans="1:1" x14ac:dyDescent="0.25">
      <c r="A7443" s="7"/>
    </row>
    <row r="7444" spans="1:1" x14ac:dyDescent="0.25">
      <c r="A7444" s="7"/>
    </row>
    <row r="7445" spans="1:1" x14ac:dyDescent="0.25">
      <c r="A7445" s="7"/>
    </row>
    <row r="7446" spans="1:1" x14ac:dyDescent="0.25">
      <c r="A7446" s="7"/>
    </row>
    <row r="7447" spans="1:1" x14ac:dyDescent="0.25">
      <c r="A7447" s="7"/>
    </row>
    <row r="7448" spans="1:1" x14ac:dyDescent="0.25">
      <c r="A7448" s="7"/>
    </row>
    <row r="7449" spans="1:1" x14ac:dyDescent="0.25">
      <c r="A7449" s="7"/>
    </row>
    <row r="7450" spans="1:1" x14ac:dyDescent="0.25">
      <c r="A7450" s="7"/>
    </row>
    <row r="7451" spans="1:1" x14ac:dyDescent="0.25">
      <c r="A7451" s="7"/>
    </row>
    <row r="7452" spans="1:1" x14ac:dyDescent="0.25">
      <c r="A7452" s="7"/>
    </row>
    <row r="7453" spans="1:1" x14ac:dyDescent="0.25">
      <c r="A7453" s="7"/>
    </row>
    <row r="7454" spans="1:1" x14ac:dyDescent="0.25">
      <c r="A7454" s="7"/>
    </row>
    <row r="7455" spans="1:1" x14ac:dyDescent="0.25">
      <c r="A7455" s="7"/>
    </row>
    <row r="7456" spans="1:1" x14ac:dyDescent="0.25">
      <c r="A7456" s="7"/>
    </row>
    <row r="7457" spans="1:1" x14ac:dyDescent="0.25">
      <c r="A7457" s="7"/>
    </row>
    <row r="7458" spans="1:1" x14ac:dyDescent="0.25">
      <c r="A7458" s="7"/>
    </row>
    <row r="7459" spans="1:1" x14ac:dyDescent="0.25">
      <c r="A7459" s="7"/>
    </row>
    <row r="7460" spans="1:1" x14ac:dyDescent="0.25">
      <c r="A7460" s="7"/>
    </row>
    <row r="7461" spans="1:1" x14ac:dyDescent="0.25">
      <c r="A7461" s="7"/>
    </row>
    <row r="7462" spans="1:1" x14ac:dyDescent="0.25">
      <c r="A7462" s="7"/>
    </row>
    <row r="7463" spans="1:1" x14ac:dyDescent="0.25">
      <c r="A7463" s="7"/>
    </row>
    <row r="7464" spans="1:1" x14ac:dyDescent="0.25">
      <c r="A7464" s="7"/>
    </row>
    <row r="7465" spans="1:1" x14ac:dyDescent="0.25">
      <c r="A7465" s="7"/>
    </row>
    <row r="7466" spans="1:1" x14ac:dyDescent="0.25">
      <c r="A7466" s="7"/>
    </row>
    <row r="7467" spans="1:1" x14ac:dyDescent="0.25">
      <c r="A7467" s="7"/>
    </row>
    <row r="7468" spans="1:1" x14ac:dyDescent="0.25">
      <c r="A7468" s="7"/>
    </row>
    <row r="7469" spans="1:1" x14ac:dyDescent="0.25">
      <c r="A7469" s="7"/>
    </row>
    <row r="7470" spans="1:1" x14ac:dyDescent="0.25">
      <c r="A7470" s="7"/>
    </row>
    <row r="7471" spans="1:1" x14ac:dyDescent="0.25">
      <c r="A7471" s="7"/>
    </row>
    <row r="7472" spans="1:1" x14ac:dyDescent="0.25">
      <c r="A7472" s="7"/>
    </row>
    <row r="7473" spans="1:1" x14ac:dyDescent="0.25">
      <c r="A7473" s="7"/>
    </row>
    <row r="7474" spans="1:1" x14ac:dyDescent="0.25">
      <c r="A7474" s="7"/>
    </row>
    <row r="7475" spans="1:1" x14ac:dyDescent="0.25">
      <c r="A7475" s="7"/>
    </row>
    <row r="7476" spans="1:1" x14ac:dyDescent="0.25">
      <c r="A7476" s="7"/>
    </row>
    <row r="7477" spans="1:1" x14ac:dyDescent="0.25">
      <c r="A7477" s="7"/>
    </row>
    <row r="7478" spans="1:1" x14ac:dyDescent="0.25">
      <c r="A7478" s="7"/>
    </row>
    <row r="7479" spans="1:1" x14ac:dyDescent="0.25">
      <c r="A7479" s="7"/>
    </row>
    <row r="7480" spans="1:1" x14ac:dyDescent="0.25">
      <c r="A7480" s="7"/>
    </row>
    <row r="7481" spans="1:1" x14ac:dyDescent="0.25">
      <c r="A7481" s="7"/>
    </row>
    <row r="7482" spans="1:1" x14ac:dyDescent="0.25">
      <c r="A7482" s="7"/>
    </row>
    <row r="7483" spans="1:1" x14ac:dyDescent="0.25">
      <c r="A7483" s="7"/>
    </row>
    <row r="7484" spans="1:1" x14ac:dyDescent="0.25">
      <c r="A7484" s="7"/>
    </row>
    <row r="7485" spans="1:1" x14ac:dyDescent="0.25">
      <c r="A7485" s="7"/>
    </row>
    <row r="7486" spans="1:1" x14ac:dyDescent="0.25">
      <c r="A7486" s="7"/>
    </row>
    <row r="7487" spans="1:1" x14ac:dyDescent="0.25">
      <c r="A7487" s="7"/>
    </row>
    <row r="7488" spans="1:1" x14ac:dyDescent="0.25">
      <c r="A7488" s="7"/>
    </row>
    <row r="7489" spans="1:1" x14ac:dyDescent="0.25">
      <c r="A7489" s="7"/>
    </row>
    <row r="7490" spans="1:1" x14ac:dyDescent="0.25">
      <c r="A7490" s="7"/>
    </row>
    <row r="7491" spans="1:1" x14ac:dyDescent="0.25">
      <c r="A7491" s="7"/>
    </row>
    <row r="7492" spans="1:1" x14ac:dyDescent="0.25">
      <c r="A7492" s="7"/>
    </row>
    <row r="7493" spans="1:1" x14ac:dyDescent="0.25">
      <c r="A7493" s="7"/>
    </row>
    <row r="7494" spans="1:1" x14ac:dyDescent="0.25">
      <c r="A7494" s="7"/>
    </row>
    <row r="7495" spans="1:1" x14ac:dyDescent="0.25">
      <c r="A7495" s="7"/>
    </row>
    <row r="7496" spans="1:1" x14ac:dyDescent="0.25">
      <c r="A7496" s="7"/>
    </row>
    <row r="7497" spans="1:1" x14ac:dyDescent="0.25">
      <c r="A7497" s="7"/>
    </row>
    <row r="7498" spans="1:1" x14ac:dyDescent="0.25">
      <c r="A7498" s="7"/>
    </row>
    <row r="7499" spans="1:1" x14ac:dyDescent="0.25">
      <c r="A7499" s="7"/>
    </row>
    <row r="7500" spans="1:1" x14ac:dyDescent="0.25">
      <c r="A7500" s="7"/>
    </row>
    <row r="7501" spans="1:1" x14ac:dyDescent="0.25">
      <c r="A7501" s="7"/>
    </row>
    <row r="7502" spans="1:1" x14ac:dyDescent="0.25">
      <c r="A7502" s="7"/>
    </row>
    <row r="7503" spans="1:1" x14ac:dyDescent="0.25">
      <c r="A7503" s="7"/>
    </row>
    <row r="7504" spans="1:1" x14ac:dyDescent="0.25">
      <c r="A7504" s="7"/>
    </row>
    <row r="7505" spans="1:1" x14ac:dyDescent="0.25">
      <c r="A7505" s="7"/>
    </row>
    <row r="7506" spans="1:1" x14ac:dyDescent="0.25">
      <c r="A7506" s="7"/>
    </row>
    <row r="7507" spans="1:1" x14ac:dyDescent="0.25">
      <c r="A7507" s="7"/>
    </row>
    <row r="7508" spans="1:1" x14ac:dyDescent="0.25">
      <c r="A7508" s="7"/>
    </row>
    <row r="7509" spans="1:1" x14ac:dyDescent="0.25">
      <c r="A7509" s="7"/>
    </row>
    <row r="7510" spans="1:1" x14ac:dyDescent="0.25">
      <c r="A7510" s="7"/>
    </row>
    <row r="7511" spans="1:1" x14ac:dyDescent="0.25">
      <c r="A7511" s="7"/>
    </row>
    <row r="7512" spans="1:1" x14ac:dyDescent="0.25">
      <c r="A7512" s="7"/>
    </row>
    <row r="7513" spans="1:1" x14ac:dyDescent="0.25">
      <c r="A7513" s="7"/>
    </row>
    <row r="7514" spans="1:1" x14ac:dyDescent="0.25">
      <c r="A7514" s="7"/>
    </row>
    <row r="7515" spans="1:1" x14ac:dyDescent="0.25">
      <c r="A7515" s="7"/>
    </row>
    <row r="7516" spans="1:1" x14ac:dyDescent="0.25">
      <c r="A7516" s="7"/>
    </row>
    <row r="7517" spans="1:1" x14ac:dyDescent="0.25">
      <c r="A7517" s="7"/>
    </row>
    <row r="7518" spans="1:1" x14ac:dyDescent="0.25">
      <c r="A7518" s="7"/>
    </row>
    <row r="7519" spans="1:1" x14ac:dyDescent="0.25">
      <c r="A7519" s="7"/>
    </row>
    <row r="7520" spans="1:1" x14ac:dyDescent="0.25">
      <c r="A7520" s="7"/>
    </row>
    <row r="7521" spans="1:1" x14ac:dyDescent="0.25">
      <c r="A7521" s="7"/>
    </row>
    <row r="7522" spans="1:1" x14ac:dyDescent="0.25">
      <c r="A7522" s="7"/>
    </row>
    <row r="7523" spans="1:1" x14ac:dyDescent="0.25">
      <c r="A7523" s="7"/>
    </row>
    <row r="7524" spans="1:1" x14ac:dyDescent="0.25">
      <c r="A7524" s="7"/>
    </row>
    <row r="7525" spans="1:1" x14ac:dyDescent="0.25">
      <c r="A7525" s="7"/>
    </row>
    <row r="7526" spans="1:1" x14ac:dyDescent="0.25">
      <c r="A7526" s="7"/>
    </row>
    <row r="7527" spans="1:1" x14ac:dyDescent="0.25">
      <c r="A7527" s="7"/>
    </row>
    <row r="7528" spans="1:1" x14ac:dyDescent="0.25">
      <c r="A7528" s="7"/>
    </row>
    <row r="7529" spans="1:1" x14ac:dyDescent="0.25">
      <c r="A7529" s="7"/>
    </row>
    <row r="7530" spans="1:1" x14ac:dyDescent="0.25">
      <c r="A7530" s="7"/>
    </row>
    <row r="7531" spans="1:1" x14ac:dyDescent="0.25">
      <c r="A7531" s="7"/>
    </row>
    <row r="7532" spans="1:1" x14ac:dyDescent="0.25">
      <c r="A7532" s="7"/>
    </row>
    <row r="7533" spans="1:1" x14ac:dyDescent="0.25">
      <c r="A7533" s="7"/>
    </row>
    <row r="7534" spans="1:1" x14ac:dyDescent="0.25">
      <c r="A7534" s="7"/>
    </row>
    <row r="7535" spans="1:1" x14ac:dyDescent="0.25">
      <c r="A7535" s="7"/>
    </row>
    <row r="7536" spans="1:1" x14ac:dyDescent="0.25">
      <c r="A7536" s="7"/>
    </row>
    <row r="7537" spans="1:1" x14ac:dyDescent="0.25">
      <c r="A7537" s="7"/>
    </row>
    <row r="7538" spans="1:1" x14ac:dyDescent="0.25">
      <c r="A7538" s="7"/>
    </row>
    <row r="7539" spans="1:1" x14ac:dyDescent="0.25">
      <c r="A7539" s="7"/>
    </row>
    <row r="7540" spans="1:1" x14ac:dyDescent="0.25">
      <c r="A7540" s="7"/>
    </row>
    <row r="7541" spans="1:1" x14ac:dyDescent="0.25">
      <c r="A7541" s="7"/>
    </row>
    <row r="7542" spans="1:1" x14ac:dyDescent="0.25">
      <c r="A7542" s="7"/>
    </row>
    <row r="7543" spans="1:1" x14ac:dyDescent="0.25">
      <c r="A7543" s="7"/>
    </row>
    <row r="7544" spans="1:1" x14ac:dyDescent="0.25">
      <c r="A7544" s="7"/>
    </row>
    <row r="7545" spans="1:1" x14ac:dyDescent="0.25">
      <c r="A7545" s="7"/>
    </row>
    <row r="7546" spans="1:1" x14ac:dyDescent="0.25">
      <c r="A7546" s="7"/>
    </row>
    <row r="7547" spans="1:1" x14ac:dyDescent="0.25">
      <c r="A7547" s="7"/>
    </row>
    <row r="7548" spans="1:1" x14ac:dyDescent="0.25">
      <c r="A7548" s="7"/>
    </row>
    <row r="7549" spans="1:1" x14ac:dyDescent="0.25">
      <c r="A7549" s="7"/>
    </row>
    <row r="7550" spans="1:1" x14ac:dyDescent="0.25">
      <c r="A7550" s="7"/>
    </row>
    <row r="7551" spans="1:1" x14ac:dyDescent="0.25">
      <c r="A7551" s="7"/>
    </row>
    <row r="7552" spans="1:1" x14ac:dyDescent="0.25">
      <c r="A7552" s="7"/>
    </row>
    <row r="7553" spans="1:1" x14ac:dyDescent="0.25">
      <c r="A7553" s="7"/>
    </row>
    <row r="7554" spans="1:1" x14ac:dyDescent="0.25">
      <c r="A7554" s="7"/>
    </row>
    <row r="7555" spans="1:1" x14ac:dyDescent="0.25">
      <c r="A7555" s="7"/>
    </row>
    <row r="7556" spans="1:1" x14ac:dyDescent="0.25">
      <c r="A7556" s="7"/>
    </row>
    <row r="7557" spans="1:1" x14ac:dyDescent="0.25">
      <c r="A7557" s="7"/>
    </row>
    <row r="7558" spans="1:1" x14ac:dyDescent="0.25">
      <c r="A7558" s="7"/>
    </row>
    <row r="7559" spans="1:1" x14ac:dyDescent="0.25">
      <c r="A7559" s="7"/>
    </row>
    <row r="7560" spans="1:1" x14ac:dyDescent="0.25">
      <c r="A7560" s="7"/>
    </row>
    <row r="7561" spans="1:1" x14ac:dyDescent="0.25">
      <c r="A7561" s="7"/>
    </row>
    <row r="7562" spans="1:1" x14ac:dyDescent="0.25">
      <c r="A7562" s="7"/>
    </row>
    <row r="7563" spans="1:1" x14ac:dyDescent="0.25">
      <c r="A7563" s="7"/>
    </row>
    <row r="7564" spans="1:1" x14ac:dyDescent="0.25">
      <c r="A7564" s="7"/>
    </row>
    <row r="7565" spans="1:1" x14ac:dyDescent="0.25">
      <c r="A7565" s="7"/>
    </row>
    <row r="7566" spans="1:1" x14ac:dyDescent="0.25">
      <c r="A7566" s="7"/>
    </row>
    <row r="7567" spans="1:1" x14ac:dyDescent="0.25">
      <c r="A7567" s="7"/>
    </row>
    <row r="7568" spans="1:1" x14ac:dyDescent="0.25">
      <c r="A7568" s="7"/>
    </row>
    <row r="7569" spans="1:1" x14ac:dyDescent="0.25">
      <c r="A7569" s="7"/>
    </row>
    <row r="7570" spans="1:1" x14ac:dyDescent="0.25">
      <c r="A7570" s="7"/>
    </row>
    <row r="7571" spans="1:1" x14ac:dyDescent="0.25">
      <c r="A7571" s="7"/>
    </row>
    <row r="7572" spans="1:1" x14ac:dyDescent="0.25">
      <c r="A7572" s="7"/>
    </row>
    <row r="7573" spans="1:1" x14ac:dyDescent="0.25">
      <c r="A7573" s="7"/>
    </row>
    <row r="7574" spans="1:1" x14ac:dyDescent="0.25">
      <c r="A7574" s="7"/>
    </row>
    <row r="7575" spans="1:1" x14ac:dyDescent="0.25">
      <c r="A7575" s="7"/>
    </row>
    <row r="7576" spans="1:1" x14ac:dyDescent="0.25">
      <c r="A7576" s="7"/>
    </row>
    <row r="7577" spans="1:1" x14ac:dyDescent="0.25">
      <c r="A7577" s="7"/>
    </row>
    <row r="7578" spans="1:1" x14ac:dyDescent="0.25">
      <c r="A7578" s="7"/>
    </row>
    <row r="7579" spans="1:1" x14ac:dyDescent="0.25">
      <c r="A7579" s="7"/>
    </row>
    <row r="7580" spans="1:1" x14ac:dyDescent="0.25">
      <c r="A7580" s="7"/>
    </row>
    <row r="7581" spans="1:1" x14ac:dyDescent="0.25">
      <c r="A7581" s="7"/>
    </row>
    <row r="7582" spans="1:1" x14ac:dyDescent="0.25">
      <c r="A7582" s="7"/>
    </row>
    <row r="7583" spans="1:1" x14ac:dyDescent="0.25">
      <c r="A7583" s="7"/>
    </row>
    <row r="7584" spans="1:1" x14ac:dyDescent="0.25">
      <c r="A7584" s="7"/>
    </row>
    <row r="7585" spans="1:1" x14ac:dyDescent="0.25">
      <c r="A7585" s="7"/>
    </row>
    <row r="7586" spans="1:1" x14ac:dyDescent="0.25">
      <c r="A7586" s="7"/>
    </row>
    <row r="7587" spans="1:1" x14ac:dyDescent="0.25">
      <c r="A7587" s="7"/>
    </row>
    <row r="7588" spans="1:1" x14ac:dyDescent="0.25">
      <c r="A7588" s="7"/>
    </row>
    <row r="7589" spans="1:1" x14ac:dyDescent="0.25">
      <c r="A7589" s="7"/>
    </row>
    <row r="7590" spans="1:1" x14ac:dyDescent="0.25">
      <c r="A7590" s="7"/>
    </row>
    <row r="7591" spans="1:1" x14ac:dyDescent="0.25">
      <c r="A7591" s="7"/>
    </row>
    <row r="7592" spans="1:1" x14ac:dyDescent="0.25">
      <c r="A7592" s="7"/>
    </row>
    <row r="7593" spans="1:1" x14ac:dyDescent="0.25">
      <c r="A7593" s="7"/>
    </row>
    <row r="7594" spans="1:1" x14ac:dyDescent="0.25">
      <c r="A7594" s="7"/>
    </row>
    <row r="7595" spans="1:1" x14ac:dyDescent="0.25">
      <c r="A7595" s="7"/>
    </row>
    <row r="7596" spans="1:1" x14ac:dyDescent="0.25">
      <c r="A7596" s="7"/>
    </row>
    <row r="7597" spans="1:1" x14ac:dyDescent="0.25">
      <c r="A7597" s="7"/>
    </row>
    <row r="7598" spans="1:1" x14ac:dyDescent="0.25">
      <c r="A7598" s="7"/>
    </row>
    <row r="7599" spans="1:1" x14ac:dyDescent="0.25">
      <c r="A7599" s="7"/>
    </row>
    <row r="7600" spans="1:1" x14ac:dyDescent="0.25">
      <c r="A7600" s="7"/>
    </row>
    <row r="7601" spans="1:1" x14ac:dyDescent="0.25">
      <c r="A7601" s="7"/>
    </row>
    <row r="7602" spans="1:1" x14ac:dyDescent="0.25">
      <c r="A7602" s="7"/>
    </row>
    <row r="7603" spans="1:1" x14ac:dyDescent="0.25">
      <c r="A7603" s="7"/>
    </row>
    <row r="7604" spans="1:1" x14ac:dyDescent="0.25">
      <c r="A7604" s="7"/>
    </row>
    <row r="7605" spans="1:1" x14ac:dyDescent="0.25">
      <c r="A7605" s="7"/>
    </row>
    <row r="7606" spans="1:1" x14ac:dyDescent="0.25">
      <c r="A7606" s="7"/>
    </row>
    <row r="7607" spans="1:1" x14ac:dyDescent="0.25">
      <c r="A7607" s="7"/>
    </row>
    <row r="7608" spans="1:1" x14ac:dyDescent="0.25">
      <c r="A7608" s="7"/>
    </row>
    <row r="7609" spans="1:1" x14ac:dyDescent="0.25">
      <c r="A7609" s="7"/>
    </row>
    <row r="7610" spans="1:1" x14ac:dyDescent="0.25">
      <c r="A7610" s="7"/>
    </row>
    <row r="7611" spans="1:1" x14ac:dyDescent="0.25">
      <c r="A7611" s="7"/>
    </row>
    <row r="7612" spans="1:1" x14ac:dyDescent="0.25">
      <c r="A7612" s="7"/>
    </row>
    <row r="7613" spans="1:1" x14ac:dyDescent="0.25">
      <c r="A7613" s="7"/>
    </row>
    <row r="7614" spans="1:1" x14ac:dyDescent="0.25">
      <c r="A7614" s="7"/>
    </row>
    <row r="7615" spans="1:1" x14ac:dyDescent="0.25">
      <c r="A7615" s="7"/>
    </row>
    <row r="7616" spans="1:1" x14ac:dyDescent="0.25">
      <c r="A7616" s="7"/>
    </row>
    <row r="7617" spans="1:1" x14ac:dyDescent="0.25">
      <c r="A7617" s="7"/>
    </row>
    <row r="7618" spans="1:1" x14ac:dyDescent="0.25">
      <c r="A7618" s="7"/>
    </row>
    <row r="7619" spans="1:1" x14ac:dyDescent="0.25">
      <c r="A7619" s="7"/>
    </row>
    <row r="7620" spans="1:1" x14ac:dyDescent="0.25">
      <c r="A7620" s="7"/>
    </row>
    <row r="7621" spans="1:1" x14ac:dyDescent="0.25">
      <c r="A7621" s="7"/>
    </row>
    <row r="7622" spans="1:1" x14ac:dyDescent="0.25">
      <c r="A7622" s="7"/>
    </row>
    <row r="7623" spans="1:1" x14ac:dyDescent="0.25">
      <c r="A7623" s="7"/>
    </row>
    <row r="7624" spans="1:1" x14ac:dyDescent="0.25">
      <c r="A7624" s="7"/>
    </row>
    <row r="7625" spans="1:1" x14ac:dyDescent="0.25">
      <c r="A7625" s="7"/>
    </row>
    <row r="7626" spans="1:1" x14ac:dyDescent="0.25">
      <c r="A7626" s="7"/>
    </row>
    <row r="7627" spans="1:1" x14ac:dyDescent="0.25">
      <c r="A7627" s="7"/>
    </row>
    <row r="7628" spans="1:1" x14ac:dyDescent="0.25">
      <c r="A7628" s="7"/>
    </row>
    <row r="7629" spans="1:1" x14ac:dyDescent="0.25">
      <c r="A7629" s="7"/>
    </row>
    <row r="7630" spans="1:1" x14ac:dyDescent="0.25">
      <c r="A7630" s="7"/>
    </row>
    <row r="7631" spans="1:1" x14ac:dyDescent="0.25">
      <c r="A7631" s="7"/>
    </row>
    <row r="7632" spans="1:1" x14ac:dyDescent="0.25">
      <c r="A7632" s="7"/>
    </row>
    <row r="7633" spans="1:1" x14ac:dyDescent="0.25">
      <c r="A7633" s="7"/>
    </row>
    <row r="7634" spans="1:1" x14ac:dyDescent="0.25">
      <c r="A7634" s="7"/>
    </row>
    <row r="7635" spans="1:1" x14ac:dyDescent="0.25">
      <c r="A7635" s="7"/>
    </row>
    <row r="7636" spans="1:1" x14ac:dyDescent="0.25">
      <c r="A7636" s="7"/>
    </row>
    <row r="7637" spans="1:1" x14ac:dyDescent="0.25">
      <c r="A7637" s="7"/>
    </row>
    <row r="7638" spans="1:1" x14ac:dyDescent="0.25">
      <c r="A7638" s="7"/>
    </row>
    <row r="7639" spans="1:1" x14ac:dyDescent="0.25">
      <c r="A7639" s="7"/>
    </row>
    <row r="7640" spans="1:1" x14ac:dyDescent="0.25">
      <c r="A7640" s="7"/>
    </row>
    <row r="7641" spans="1:1" x14ac:dyDescent="0.25">
      <c r="A7641" s="7"/>
    </row>
    <row r="7642" spans="1:1" x14ac:dyDescent="0.25">
      <c r="A7642" s="7"/>
    </row>
    <row r="7643" spans="1:1" x14ac:dyDescent="0.25">
      <c r="A7643" s="7"/>
    </row>
    <row r="7644" spans="1:1" x14ac:dyDescent="0.25">
      <c r="A7644" s="7"/>
    </row>
    <row r="7645" spans="1:1" x14ac:dyDescent="0.25">
      <c r="A7645" s="7"/>
    </row>
    <row r="7646" spans="1:1" x14ac:dyDescent="0.25">
      <c r="A7646" s="7"/>
    </row>
    <row r="7647" spans="1:1" x14ac:dyDescent="0.25">
      <c r="A7647" s="7"/>
    </row>
    <row r="7648" spans="1:1" x14ac:dyDescent="0.25">
      <c r="A7648" s="7"/>
    </row>
    <row r="7649" spans="1:1" x14ac:dyDescent="0.25">
      <c r="A7649" s="7"/>
    </row>
    <row r="7650" spans="1:1" x14ac:dyDescent="0.25">
      <c r="A7650" s="7"/>
    </row>
    <row r="7651" spans="1:1" x14ac:dyDescent="0.25">
      <c r="A7651" s="7"/>
    </row>
    <row r="7652" spans="1:1" x14ac:dyDescent="0.25">
      <c r="A7652" s="7"/>
    </row>
    <row r="7653" spans="1:1" x14ac:dyDescent="0.25">
      <c r="A7653" s="7"/>
    </row>
    <row r="7654" spans="1:1" x14ac:dyDescent="0.25">
      <c r="A7654" s="7"/>
    </row>
    <row r="7655" spans="1:1" x14ac:dyDescent="0.25">
      <c r="A7655" s="7"/>
    </row>
    <row r="7656" spans="1:1" x14ac:dyDescent="0.25">
      <c r="A7656" s="7"/>
    </row>
    <row r="7657" spans="1:1" x14ac:dyDescent="0.25">
      <c r="A7657" s="7"/>
    </row>
    <row r="7658" spans="1:1" x14ac:dyDescent="0.25">
      <c r="A7658" s="7"/>
    </row>
    <row r="7659" spans="1:1" x14ac:dyDescent="0.25">
      <c r="A7659" s="7"/>
    </row>
    <row r="7660" spans="1:1" x14ac:dyDescent="0.25">
      <c r="A7660" s="7"/>
    </row>
    <row r="7661" spans="1:1" x14ac:dyDescent="0.25">
      <c r="A7661" s="7"/>
    </row>
    <row r="7662" spans="1:1" x14ac:dyDescent="0.25">
      <c r="A7662" s="7"/>
    </row>
    <row r="7663" spans="1:1" x14ac:dyDescent="0.25">
      <c r="A7663" s="7"/>
    </row>
    <row r="7664" spans="1:1" x14ac:dyDescent="0.25">
      <c r="A7664" s="7"/>
    </row>
    <row r="7665" spans="1:1" x14ac:dyDescent="0.25">
      <c r="A7665" s="7"/>
    </row>
    <row r="7666" spans="1:1" x14ac:dyDescent="0.25">
      <c r="A7666" s="7"/>
    </row>
    <row r="7667" spans="1:1" x14ac:dyDescent="0.25">
      <c r="A7667" s="7"/>
    </row>
    <row r="7668" spans="1:1" x14ac:dyDescent="0.25">
      <c r="A7668" s="7"/>
    </row>
    <row r="7669" spans="1:1" x14ac:dyDescent="0.25">
      <c r="A7669" s="7"/>
    </row>
    <row r="7670" spans="1:1" x14ac:dyDescent="0.25">
      <c r="A7670" s="7"/>
    </row>
    <row r="7671" spans="1:1" x14ac:dyDescent="0.25">
      <c r="A7671" s="7"/>
    </row>
    <row r="7672" spans="1:1" x14ac:dyDescent="0.25">
      <c r="A7672" s="7"/>
    </row>
    <row r="7673" spans="1:1" x14ac:dyDescent="0.25">
      <c r="A7673" s="7"/>
    </row>
    <row r="7674" spans="1:1" x14ac:dyDescent="0.25">
      <c r="A7674" s="7"/>
    </row>
    <row r="7675" spans="1:1" x14ac:dyDescent="0.25">
      <c r="A7675" s="7"/>
    </row>
    <row r="7676" spans="1:1" x14ac:dyDescent="0.25">
      <c r="A7676" s="7"/>
    </row>
    <row r="7677" spans="1:1" x14ac:dyDescent="0.25">
      <c r="A7677" s="7"/>
    </row>
    <row r="7678" spans="1:1" x14ac:dyDescent="0.25">
      <c r="A7678" s="7"/>
    </row>
    <row r="7679" spans="1:1" x14ac:dyDescent="0.25">
      <c r="A7679" s="7"/>
    </row>
    <row r="7680" spans="1:1" x14ac:dyDescent="0.25">
      <c r="A7680" s="7"/>
    </row>
    <row r="7681" spans="1:1" x14ac:dyDescent="0.25">
      <c r="A7681" s="7"/>
    </row>
    <row r="7682" spans="1:1" x14ac:dyDescent="0.25">
      <c r="A7682" s="7"/>
    </row>
    <row r="7683" spans="1:1" x14ac:dyDescent="0.25">
      <c r="A7683" s="7"/>
    </row>
    <row r="7684" spans="1:1" x14ac:dyDescent="0.25">
      <c r="A7684" s="7"/>
    </row>
    <row r="7685" spans="1:1" x14ac:dyDescent="0.25">
      <c r="A7685" s="7"/>
    </row>
    <row r="7686" spans="1:1" x14ac:dyDescent="0.25">
      <c r="A7686" s="7"/>
    </row>
    <row r="7687" spans="1:1" x14ac:dyDescent="0.25">
      <c r="A7687" s="7"/>
    </row>
    <row r="7688" spans="1:1" x14ac:dyDescent="0.25">
      <c r="A7688" s="7"/>
    </row>
    <row r="7689" spans="1:1" x14ac:dyDescent="0.25">
      <c r="A7689" s="7"/>
    </row>
    <row r="7690" spans="1:1" x14ac:dyDescent="0.25">
      <c r="A7690" s="7"/>
    </row>
    <row r="7691" spans="1:1" x14ac:dyDescent="0.25">
      <c r="A7691" s="7"/>
    </row>
    <row r="7692" spans="1:1" x14ac:dyDescent="0.25">
      <c r="A7692" s="7"/>
    </row>
    <row r="7693" spans="1:1" x14ac:dyDescent="0.25">
      <c r="A7693" s="7"/>
    </row>
    <row r="7694" spans="1:1" x14ac:dyDescent="0.25">
      <c r="A7694" s="7"/>
    </row>
    <row r="7695" spans="1:1" x14ac:dyDescent="0.25">
      <c r="A7695" s="7"/>
    </row>
    <row r="7696" spans="1:1" x14ac:dyDescent="0.25">
      <c r="A7696" s="7"/>
    </row>
    <row r="7697" spans="1:1" x14ac:dyDescent="0.25">
      <c r="A7697" s="7"/>
    </row>
    <row r="7698" spans="1:1" x14ac:dyDescent="0.25">
      <c r="A7698" s="7"/>
    </row>
    <row r="7699" spans="1:1" x14ac:dyDescent="0.25">
      <c r="A7699" s="7"/>
    </row>
    <row r="7700" spans="1:1" x14ac:dyDescent="0.25">
      <c r="A7700" s="7"/>
    </row>
    <row r="7701" spans="1:1" x14ac:dyDescent="0.25">
      <c r="A7701" s="7"/>
    </row>
    <row r="7702" spans="1:1" x14ac:dyDescent="0.25">
      <c r="A7702" s="7"/>
    </row>
    <row r="7703" spans="1:1" x14ac:dyDescent="0.25">
      <c r="A7703" s="7"/>
    </row>
    <row r="7704" spans="1:1" x14ac:dyDescent="0.25">
      <c r="A7704" s="7"/>
    </row>
    <row r="7705" spans="1:1" x14ac:dyDescent="0.25">
      <c r="A7705" s="7"/>
    </row>
    <row r="7706" spans="1:1" x14ac:dyDescent="0.25">
      <c r="A7706" s="7"/>
    </row>
    <row r="7707" spans="1:1" x14ac:dyDescent="0.25">
      <c r="A7707" s="7"/>
    </row>
    <row r="7708" spans="1:1" x14ac:dyDescent="0.25">
      <c r="A7708" s="7"/>
    </row>
    <row r="7709" spans="1:1" x14ac:dyDescent="0.25">
      <c r="A7709" s="7"/>
    </row>
    <row r="7710" spans="1:1" x14ac:dyDescent="0.25">
      <c r="A7710" s="7"/>
    </row>
    <row r="7711" spans="1:1" x14ac:dyDescent="0.25">
      <c r="A7711" s="7"/>
    </row>
    <row r="7712" spans="1:1" x14ac:dyDescent="0.25">
      <c r="A7712" s="7"/>
    </row>
    <row r="7713" spans="1:1" x14ac:dyDescent="0.25">
      <c r="A7713" s="7"/>
    </row>
    <row r="7714" spans="1:1" x14ac:dyDescent="0.25">
      <c r="A7714" s="7"/>
    </row>
    <row r="7715" spans="1:1" x14ac:dyDescent="0.25">
      <c r="A7715" s="7"/>
    </row>
    <row r="7716" spans="1:1" x14ac:dyDescent="0.25">
      <c r="A7716" s="7"/>
    </row>
    <row r="7717" spans="1:1" x14ac:dyDescent="0.25">
      <c r="A7717" s="7"/>
    </row>
    <row r="7718" spans="1:1" x14ac:dyDescent="0.25">
      <c r="A7718" s="7"/>
    </row>
    <row r="7719" spans="1:1" x14ac:dyDescent="0.25">
      <c r="A7719" s="7"/>
    </row>
    <row r="7720" spans="1:1" x14ac:dyDescent="0.25">
      <c r="A7720" s="7"/>
    </row>
    <row r="7721" spans="1:1" x14ac:dyDescent="0.25">
      <c r="A7721" s="7"/>
    </row>
    <row r="7722" spans="1:1" x14ac:dyDescent="0.25">
      <c r="A7722" s="7"/>
    </row>
    <row r="7723" spans="1:1" x14ac:dyDescent="0.25">
      <c r="A7723" s="7"/>
    </row>
    <row r="7724" spans="1:1" x14ac:dyDescent="0.25">
      <c r="A7724" s="7"/>
    </row>
    <row r="7725" spans="1:1" x14ac:dyDescent="0.25">
      <c r="A7725" s="7"/>
    </row>
    <row r="7726" spans="1:1" x14ac:dyDescent="0.25">
      <c r="A7726" s="7"/>
    </row>
    <row r="7727" spans="1:1" x14ac:dyDescent="0.25">
      <c r="A7727" s="7"/>
    </row>
    <row r="7728" spans="1:1" x14ac:dyDescent="0.25">
      <c r="A7728" s="7"/>
    </row>
    <row r="7729" spans="1:1" x14ac:dyDescent="0.25">
      <c r="A7729" s="7"/>
    </row>
    <row r="7730" spans="1:1" x14ac:dyDescent="0.25">
      <c r="A7730" s="7"/>
    </row>
    <row r="7731" spans="1:1" x14ac:dyDescent="0.25">
      <c r="A7731" s="7"/>
    </row>
    <row r="7732" spans="1:1" x14ac:dyDescent="0.25">
      <c r="A7732" s="7"/>
    </row>
    <row r="7733" spans="1:1" x14ac:dyDescent="0.25">
      <c r="A7733" s="7"/>
    </row>
    <row r="7734" spans="1:1" x14ac:dyDescent="0.25">
      <c r="A7734" s="7"/>
    </row>
    <row r="7735" spans="1:1" x14ac:dyDescent="0.25">
      <c r="A7735" s="7"/>
    </row>
    <row r="7736" spans="1:1" x14ac:dyDescent="0.25">
      <c r="A7736" s="7"/>
    </row>
    <row r="7737" spans="1:1" x14ac:dyDescent="0.25">
      <c r="A7737" s="7"/>
    </row>
    <row r="7738" spans="1:1" x14ac:dyDescent="0.25">
      <c r="A7738" s="7"/>
    </row>
    <row r="7739" spans="1:1" x14ac:dyDescent="0.25">
      <c r="A7739" s="7"/>
    </row>
    <row r="7740" spans="1:1" x14ac:dyDescent="0.25">
      <c r="A7740" s="7"/>
    </row>
    <row r="7741" spans="1:1" x14ac:dyDescent="0.25">
      <c r="A7741" s="7"/>
    </row>
    <row r="7742" spans="1:1" x14ac:dyDescent="0.25">
      <c r="A7742" s="7"/>
    </row>
    <row r="7743" spans="1:1" x14ac:dyDescent="0.25">
      <c r="A7743" s="7"/>
    </row>
    <row r="7744" spans="1:1" x14ac:dyDescent="0.25">
      <c r="A7744" s="7"/>
    </row>
    <row r="7745" spans="1:1" x14ac:dyDescent="0.25">
      <c r="A7745" s="7"/>
    </row>
    <row r="7746" spans="1:1" x14ac:dyDescent="0.25">
      <c r="A7746" s="7"/>
    </row>
    <row r="7747" spans="1:1" x14ac:dyDescent="0.25">
      <c r="A7747" s="7"/>
    </row>
    <row r="7748" spans="1:1" x14ac:dyDescent="0.25">
      <c r="A7748" s="7"/>
    </row>
    <row r="7749" spans="1:1" x14ac:dyDescent="0.25">
      <c r="A7749" s="7"/>
    </row>
    <row r="7750" spans="1:1" x14ac:dyDescent="0.25">
      <c r="A7750" s="7"/>
    </row>
    <row r="7751" spans="1:1" x14ac:dyDescent="0.25">
      <c r="A7751" s="7"/>
    </row>
    <row r="7752" spans="1:1" x14ac:dyDescent="0.25">
      <c r="A7752" s="7"/>
    </row>
    <row r="7753" spans="1:1" x14ac:dyDescent="0.25">
      <c r="A7753" s="7"/>
    </row>
    <row r="7754" spans="1:1" x14ac:dyDescent="0.25">
      <c r="A7754" s="7"/>
    </row>
    <row r="7755" spans="1:1" x14ac:dyDescent="0.25">
      <c r="A7755" s="7"/>
    </row>
    <row r="7756" spans="1:1" x14ac:dyDescent="0.25">
      <c r="A7756" s="7"/>
    </row>
    <row r="7757" spans="1:1" x14ac:dyDescent="0.25">
      <c r="A7757" s="7"/>
    </row>
    <row r="7758" spans="1:1" x14ac:dyDescent="0.25">
      <c r="A7758" s="7"/>
    </row>
    <row r="7759" spans="1:1" x14ac:dyDescent="0.25">
      <c r="A7759" s="7"/>
    </row>
    <row r="7760" spans="1:1" x14ac:dyDescent="0.25">
      <c r="A7760" s="7"/>
    </row>
    <row r="7761" spans="1:1" x14ac:dyDescent="0.25">
      <c r="A7761" s="7"/>
    </row>
    <row r="7762" spans="1:1" x14ac:dyDescent="0.25">
      <c r="A7762" s="7"/>
    </row>
    <row r="7763" spans="1:1" x14ac:dyDescent="0.25">
      <c r="A7763" s="7"/>
    </row>
    <row r="7764" spans="1:1" x14ac:dyDescent="0.25">
      <c r="A7764" s="7"/>
    </row>
    <row r="7765" spans="1:1" x14ac:dyDescent="0.25">
      <c r="A7765" s="7"/>
    </row>
    <row r="7766" spans="1:1" x14ac:dyDescent="0.25">
      <c r="A7766" s="7"/>
    </row>
    <row r="7767" spans="1:1" x14ac:dyDescent="0.25">
      <c r="A7767" s="7"/>
    </row>
    <row r="7768" spans="1:1" x14ac:dyDescent="0.25">
      <c r="A7768" s="7"/>
    </row>
    <row r="7769" spans="1:1" x14ac:dyDescent="0.25">
      <c r="A7769" s="7"/>
    </row>
    <row r="7770" spans="1:1" x14ac:dyDescent="0.25">
      <c r="A7770" s="7"/>
    </row>
    <row r="7771" spans="1:1" x14ac:dyDescent="0.25">
      <c r="A7771" s="7"/>
    </row>
    <row r="7772" spans="1:1" x14ac:dyDescent="0.25">
      <c r="A7772" s="7"/>
    </row>
    <row r="7773" spans="1:1" x14ac:dyDescent="0.25">
      <c r="A7773" s="7"/>
    </row>
    <row r="7774" spans="1:1" x14ac:dyDescent="0.25">
      <c r="A7774" s="7"/>
    </row>
    <row r="7775" spans="1:1" x14ac:dyDescent="0.25">
      <c r="A7775" s="7"/>
    </row>
    <row r="7776" spans="1:1" x14ac:dyDescent="0.25">
      <c r="A7776" s="7"/>
    </row>
    <row r="7777" spans="1:1" x14ac:dyDescent="0.25">
      <c r="A7777" s="7"/>
    </row>
    <row r="7778" spans="1:1" x14ac:dyDescent="0.25">
      <c r="A7778" s="7"/>
    </row>
    <row r="7779" spans="1:1" x14ac:dyDescent="0.25">
      <c r="A7779" s="7"/>
    </row>
    <row r="7780" spans="1:1" x14ac:dyDescent="0.25">
      <c r="A7780" s="7"/>
    </row>
    <row r="7781" spans="1:1" x14ac:dyDescent="0.25">
      <c r="A7781" s="7"/>
    </row>
    <row r="7782" spans="1:1" x14ac:dyDescent="0.25">
      <c r="A7782" s="7"/>
    </row>
    <row r="7783" spans="1:1" x14ac:dyDescent="0.25">
      <c r="A7783" s="7"/>
    </row>
    <row r="7784" spans="1:1" x14ac:dyDescent="0.25">
      <c r="A7784" s="7"/>
    </row>
    <row r="7785" spans="1:1" x14ac:dyDescent="0.25">
      <c r="A7785" s="7"/>
    </row>
    <row r="7786" spans="1:1" x14ac:dyDescent="0.25">
      <c r="A7786" s="7"/>
    </row>
    <row r="7787" spans="1:1" x14ac:dyDescent="0.25">
      <c r="A7787" s="7"/>
    </row>
    <row r="7788" spans="1:1" x14ac:dyDescent="0.25">
      <c r="A7788" s="7"/>
    </row>
    <row r="7789" spans="1:1" x14ac:dyDescent="0.25">
      <c r="A7789" s="7"/>
    </row>
    <row r="7790" spans="1:1" x14ac:dyDescent="0.25">
      <c r="A7790" s="7"/>
    </row>
    <row r="7791" spans="1:1" x14ac:dyDescent="0.25">
      <c r="A7791" s="7"/>
    </row>
    <row r="7792" spans="1:1" x14ac:dyDescent="0.25">
      <c r="A7792" s="7"/>
    </row>
    <row r="7793" spans="1:1" x14ac:dyDescent="0.25">
      <c r="A7793" s="7"/>
    </row>
    <row r="7794" spans="1:1" x14ac:dyDescent="0.25">
      <c r="A7794" s="7"/>
    </row>
    <row r="7795" spans="1:1" x14ac:dyDescent="0.25">
      <c r="A7795" s="7"/>
    </row>
    <row r="7796" spans="1:1" x14ac:dyDescent="0.25">
      <c r="A7796" s="7"/>
    </row>
    <row r="7797" spans="1:1" x14ac:dyDescent="0.25">
      <c r="A7797" s="7"/>
    </row>
    <row r="7798" spans="1:1" x14ac:dyDescent="0.25">
      <c r="A7798" s="7"/>
    </row>
    <row r="7799" spans="1:1" x14ac:dyDescent="0.25">
      <c r="A7799" s="7"/>
    </row>
    <row r="7800" spans="1:1" x14ac:dyDescent="0.25">
      <c r="A7800" s="7"/>
    </row>
    <row r="7801" spans="1:1" x14ac:dyDescent="0.25">
      <c r="A7801" s="7"/>
    </row>
    <row r="7802" spans="1:1" x14ac:dyDescent="0.25">
      <c r="A7802" s="7"/>
    </row>
    <row r="7803" spans="1:1" x14ac:dyDescent="0.25">
      <c r="A7803" s="7"/>
    </row>
    <row r="7804" spans="1:1" x14ac:dyDescent="0.25">
      <c r="A7804" s="7"/>
    </row>
    <row r="7805" spans="1:1" x14ac:dyDescent="0.25">
      <c r="A7805" s="7"/>
    </row>
    <row r="7806" spans="1:1" x14ac:dyDescent="0.25">
      <c r="A7806" s="7"/>
    </row>
    <row r="7807" spans="1:1" x14ac:dyDescent="0.25">
      <c r="A7807" s="7"/>
    </row>
    <row r="7808" spans="1:1" x14ac:dyDescent="0.25">
      <c r="A7808" s="7"/>
    </row>
    <row r="7809" spans="1:1" x14ac:dyDescent="0.25">
      <c r="A7809" s="7"/>
    </row>
    <row r="7810" spans="1:1" x14ac:dyDescent="0.25">
      <c r="A7810" s="7"/>
    </row>
    <row r="7811" spans="1:1" x14ac:dyDescent="0.25">
      <c r="A7811" s="7"/>
    </row>
    <row r="7812" spans="1:1" x14ac:dyDescent="0.25">
      <c r="A7812" s="7"/>
    </row>
    <row r="7813" spans="1:1" x14ac:dyDescent="0.25">
      <c r="A7813" s="7"/>
    </row>
    <row r="7814" spans="1:1" x14ac:dyDescent="0.25">
      <c r="A7814" s="7"/>
    </row>
    <row r="7815" spans="1:1" x14ac:dyDescent="0.25">
      <c r="A7815" s="7"/>
    </row>
    <row r="7816" spans="1:1" x14ac:dyDescent="0.25">
      <c r="A7816" s="7"/>
    </row>
    <row r="7817" spans="1:1" x14ac:dyDescent="0.25">
      <c r="A7817" s="7"/>
    </row>
    <row r="7818" spans="1:1" x14ac:dyDescent="0.25">
      <c r="A7818" s="7"/>
    </row>
    <row r="7819" spans="1:1" x14ac:dyDescent="0.25">
      <c r="A7819" s="7"/>
    </row>
    <row r="7820" spans="1:1" x14ac:dyDescent="0.25">
      <c r="A7820" s="7"/>
    </row>
    <row r="7821" spans="1:1" x14ac:dyDescent="0.25">
      <c r="A7821" s="7"/>
    </row>
    <row r="7822" spans="1:1" x14ac:dyDescent="0.25">
      <c r="A7822" s="7"/>
    </row>
    <row r="7823" spans="1:1" x14ac:dyDescent="0.25">
      <c r="A7823" s="7"/>
    </row>
    <row r="7824" spans="1:1" x14ac:dyDescent="0.25">
      <c r="A7824" s="7"/>
    </row>
    <row r="7825" spans="1:1" x14ac:dyDescent="0.25">
      <c r="A7825" s="7"/>
    </row>
    <row r="7826" spans="1:1" x14ac:dyDescent="0.25">
      <c r="A7826" s="7"/>
    </row>
    <row r="7827" spans="1:1" x14ac:dyDescent="0.25">
      <c r="A7827" s="7"/>
    </row>
    <row r="7828" spans="1:1" x14ac:dyDescent="0.25">
      <c r="A7828" s="7"/>
    </row>
    <row r="7829" spans="1:1" x14ac:dyDescent="0.25">
      <c r="A7829" s="7"/>
    </row>
    <row r="7830" spans="1:1" x14ac:dyDescent="0.25">
      <c r="A7830" s="7"/>
    </row>
    <row r="7831" spans="1:1" x14ac:dyDescent="0.25">
      <c r="A7831" s="7"/>
    </row>
    <row r="7832" spans="1:1" x14ac:dyDescent="0.25">
      <c r="A7832" s="7"/>
    </row>
    <row r="7833" spans="1:1" x14ac:dyDescent="0.25">
      <c r="A7833" s="7"/>
    </row>
    <row r="7834" spans="1:1" x14ac:dyDescent="0.25">
      <c r="A7834" s="7"/>
    </row>
    <row r="7835" spans="1:1" x14ac:dyDescent="0.25">
      <c r="A7835" s="7"/>
    </row>
    <row r="7836" spans="1:1" x14ac:dyDescent="0.25">
      <c r="A7836" s="7"/>
    </row>
    <row r="7837" spans="1:1" x14ac:dyDescent="0.25">
      <c r="A7837" s="7"/>
    </row>
    <row r="7838" spans="1:1" x14ac:dyDescent="0.25">
      <c r="A7838" s="7"/>
    </row>
    <row r="7839" spans="1:1" x14ac:dyDescent="0.25">
      <c r="A7839" s="7"/>
    </row>
    <row r="7840" spans="1:1" x14ac:dyDescent="0.25">
      <c r="A7840" s="7"/>
    </row>
    <row r="7841" spans="1:1" x14ac:dyDescent="0.25">
      <c r="A7841" s="7"/>
    </row>
    <row r="7842" spans="1:1" x14ac:dyDescent="0.25">
      <c r="A7842" s="7"/>
    </row>
    <row r="7843" spans="1:1" x14ac:dyDescent="0.25">
      <c r="A7843" s="7"/>
    </row>
    <row r="7844" spans="1:1" x14ac:dyDescent="0.25">
      <c r="A7844" s="7"/>
    </row>
    <row r="7845" spans="1:1" x14ac:dyDescent="0.25">
      <c r="A7845" s="7"/>
    </row>
    <row r="7846" spans="1:1" x14ac:dyDescent="0.25">
      <c r="A7846" s="7"/>
    </row>
    <row r="7847" spans="1:1" x14ac:dyDescent="0.25">
      <c r="A7847" s="7"/>
    </row>
    <row r="7848" spans="1:1" x14ac:dyDescent="0.25">
      <c r="A7848" s="7"/>
    </row>
    <row r="7849" spans="1:1" x14ac:dyDescent="0.25">
      <c r="A7849" s="7"/>
    </row>
    <row r="7850" spans="1:1" x14ac:dyDescent="0.25">
      <c r="A7850" s="7"/>
    </row>
    <row r="7851" spans="1:1" x14ac:dyDescent="0.25">
      <c r="A7851" s="7"/>
    </row>
    <row r="7852" spans="1:1" x14ac:dyDescent="0.25">
      <c r="A7852" s="7"/>
    </row>
    <row r="7853" spans="1:1" x14ac:dyDescent="0.25">
      <c r="A7853" s="7"/>
    </row>
    <row r="7854" spans="1:1" x14ac:dyDescent="0.25">
      <c r="A7854" s="7"/>
    </row>
    <row r="7855" spans="1:1" x14ac:dyDescent="0.25">
      <c r="A7855" s="7"/>
    </row>
    <row r="7856" spans="1:1" x14ac:dyDescent="0.25">
      <c r="A7856" s="7"/>
    </row>
    <row r="7857" spans="1:1" x14ac:dyDescent="0.25">
      <c r="A7857" s="7"/>
    </row>
    <row r="7858" spans="1:1" x14ac:dyDescent="0.25">
      <c r="A7858" s="7"/>
    </row>
    <row r="7859" spans="1:1" x14ac:dyDescent="0.25">
      <c r="A7859" s="7"/>
    </row>
    <row r="7860" spans="1:1" x14ac:dyDescent="0.25">
      <c r="A7860" s="7"/>
    </row>
    <row r="7861" spans="1:1" x14ac:dyDescent="0.25">
      <c r="A7861" s="7"/>
    </row>
    <row r="7862" spans="1:1" x14ac:dyDescent="0.25">
      <c r="A7862" s="7"/>
    </row>
    <row r="7863" spans="1:1" x14ac:dyDescent="0.25">
      <c r="A7863" s="7"/>
    </row>
    <row r="7864" spans="1:1" x14ac:dyDescent="0.25">
      <c r="A7864" s="7"/>
    </row>
    <row r="7865" spans="1:1" x14ac:dyDescent="0.25">
      <c r="A7865" s="7"/>
    </row>
    <row r="7866" spans="1:1" x14ac:dyDescent="0.25">
      <c r="A7866" s="7"/>
    </row>
    <row r="7867" spans="1:1" x14ac:dyDescent="0.25">
      <c r="A7867" s="7"/>
    </row>
    <row r="7868" spans="1:1" x14ac:dyDescent="0.25">
      <c r="A7868" s="7"/>
    </row>
    <row r="7869" spans="1:1" x14ac:dyDescent="0.25">
      <c r="A7869" s="7"/>
    </row>
    <row r="7870" spans="1:1" x14ac:dyDescent="0.25">
      <c r="A7870" s="7"/>
    </row>
    <row r="7871" spans="1:1" x14ac:dyDescent="0.25">
      <c r="A7871" s="7"/>
    </row>
    <row r="7872" spans="1:1" x14ac:dyDescent="0.25">
      <c r="A7872" s="7"/>
    </row>
    <row r="7873" spans="1:1" x14ac:dyDescent="0.25">
      <c r="A7873" s="7"/>
    </row>
    <row r="7874" spans="1:1" x14ac:dyDescent="0.25">
      <c r="A7874" s="7"/>
    </row>
    <row r="7875" spans="1:1" x14ac:dyDescent="0.25">
      <c r="A7875" s="7"/>
    </row>
    <row r="7876" spans="1:1" x14ac:dyDescent="0.25">
      <c r="A7876" s="7"/>
    </row>
    <row r="7877" spans="1:1" x14ac:dyDescent="0.25">
      <c r="A7877" s="7"/>
    </row>
    <row r="7878" spans="1:1" x14ac:dyDescent="0.25">
      <c r="A7878" s="7"/>
    </row>
    <row r="7879" spans="1:1" x14ac:dyDescent="0.25">
      <c r="A7879" s="7"/>
    </row>
    <row r="7880" spans="1:1" x14ac:dyDescent="0.25">
      <c r="A7880" s="7"/>
    </row>
    <row r="7881" spans="1:1" x14ac:dyDescent="0.25">
      <c r="A7881" s="7"/>
    </row>
    <row r="7882" spans="1:1" x14ac:dyDescent="0.25">
      <c r="A7882" s="7"/>
    </row>
    <row r="7883" spans="1:1" x14ac:dyDescent="0.25">
      <c r="A7883" s="7"/>
    </row>
    <row r="7884" spans="1:1" x14ac:dyDescent="0.25">
      <c r="A7884" s="7"/>
    </row>
    <row r="7885" spans="1:1" x14ac:dyDescent="0.25">
      <c r="A7885" s="7"/>
    </row>
    <row r="7886" spans="1:1" x14ac:dyDescent="0.25">
      <c r="A7886" s="7"/>
    </row>
    <row r="7887" spans="1:1" x14ac:dyDescent="0.25">
      <c r="A7887" s="7"/>
    </row>
    <row r="7888" spans="1:1" x14ac:dyDescent="0.25">
      <c r="A7888" s="7"/>
    </row>
    <row r="7889" spans="1:1" x14ac:dyDescent="0.25">
      <c r="A7889" s="7"/>
    </row>
    <row r="7890" spans="1:1" x14ac:dyDescent="0.25">
      <c r="A7890" s="7"/>
    </row>
    <row r="7891" spans="1:1" x14ac:dyDescent="0.25">
      <c r="A7891" s="7"/>
    </row>
    <row r="7892" spans="1:1" x14ac:dyDescent="0.25">
      <c r="A7892" s="7"/>
    </row>
    <row r="7893" spans="1:1" x14ac:dyDescent="0.25">
      <c r="A7893" s="7"/>
    </row>
    <row r="7894" spans="1:1" x14ac:dyDescent="0.25">
      <c r="A7894" s="7"/>
    </row>
    <row r="7895" spans="1:1" x14ac:dyDescent="0.25">
      <c r="A7895" s="7"/>
    </row>
    <row r="7896" spans="1:1" x14ac:dyDescent="0.25">
      <c r="A7896" s="7"/>
    </row>
    <row r="7897" spans="1:1" x14ac:dyDescent="0.25">
      <c r="A7897" s="7"/>
    </row>
    <row r="7898" spans="1:1" x14ac:dyDescent="0.25">
      <c r="A7898" s="7"/>
    </row>
    <row r="7899" spans="1:1" x14ac:dyDescent="0.25">
      <c r="A7899" s="7"/>
    </row>
    <row r="7900" spans="1:1" x14ac:dyDescent="0.25">
      <c r="A7900" s="7"/>
    </row>
    <row r="7901" spans="1:1" x14ac:dyDescent="0.25">
      <c r="A7901" s="7"/>
    </row>
    <row r="7902" spans="1:1" x14ac:dyDescent="0.25">
      <c r="A7902" s="7"/>
    </row>
    <row r="7903" spans="1:1" x14ac:dyDescent="0.25">
      <c r="A7903" s="7"/>
    </row>
    <row r="7904" spans="1:1" x14ac:dyDescent="0.25">
      <c r="A7904" s="7"/>
    </row>
    <row r="7905" spans="1:1" x14ac:dyDescent="0.25">
      <c r="A7905" s="7"/>
    </row>
    <row r="7906" spans="1:1" x14ac:dyDescent="0.25">
      <c r="A7906" s="7"/>
    </row>
    <row r="7907" spans="1:1" x14ac:dyDescent="0.25">
      <c r="A7907" s="7"/>
    </row>
    <row r="7908" spans="1:1" x14ac:dyDescent="0.25">
      <c r="A7908" s="7"/>
    </row>
    <row r="7909" spans="1:1" x14ac:dyDescent="0.25">
      <c r="A7909" s="7"/>
    </row>
    <row r="7910" spans="1:1" x14ac:dyDescent="0.25">
      <c r="A7910" s="7"/>
    </row>
    <row r="7911" spans="1:1" x14ac:dyDescent="0.25">
      <c r="A7911" s="7"/>
    </row>
    <row r="7912" spans="1:1" x14ac:dyDescent="0.25">
      <c r="A7912" s="7"/>
    </row>
    <row r="7913" spans="1:1" x14ac:dyDescent="0.25">
      <c r="A7913" s="7"/>
    </row>
    <row r="7914" spans="1:1" x14ac:dyDescent="0.25">
      <c r="A7914" s="7"/>
    </row>
    <row r="7915" spans="1:1" x14ac:dyDescent="0.25">
      <c r="A7915" s="7"/>
    </row>
    <row r="7916" spans="1:1" x14ac:dyDescent="0.25">
      <c r="A7916" s="7"/>
    </row>
    <row r="7917" spans="1:1" x14ac:dyDescent="0.25">
      <c r="A7917" s="7"/>
    </row>
    <row r="7918" spans="1:1" x14ac:dyDescent="0.25">
      <c r="A7918" s="7"/>
    </row>
    <row r="7919" spans="1:1" x14ac:dyDescent="0.25">
      <c r="A7919" s="7"/>
    </row>
    <row r="7920" spans="1:1" x14ac:dyDescent="0.25">
      <c r="A7920" s="7"/>
    </row>
    <row r="7921" spans="1:1" x14ac:dyDescent="0.25">
      <c r="A7921" s="7"/>
    </row>
    <row r="7922" spans="1:1" x14ac:dyDescent="0.25">
      <c r="A7922" s="7"/>
    </row>
    <row r="7923" spans="1:1" x14ac:dyDescent="0.25">
      <c r="A7923" s="7"/>
    </row>
    <row r="7924" spans="1:1" x14ac:dyDescent="0.25">
      <c r="A7924" s="7"/>
    </row>
    <row r="7925" spans="1:1" x14ac:dyDescent="0.25">
      <c r="A7925" s="7"/>
    </row>
    <row r="7926" spans="1:1" x14ac:dyDescent="0.25">
      <c r="A7926" s="7"/>
    </row>
    <row r="7927" spans="1:1" x14ac:dyDescent="0.25">
      <c r="A7927" s="7"/>
    </row>
    <row r="7928" spans="1:1" x14ac:dyDescent="0.25">
      <c r="A7928" s="7"/>
    </row>
    <row r="7929" spans="1:1" x14ac:dyDescent="0.25">
      <c r="A7929" s="7"/>
    </row>
    <row r="7930" spans="1:1" x14ac:dyDescent="0.25">
      <c r="A7930" s="7"/>
    </row>
    <row r="7931" spans="1:1" x14ac:dyDescent="0.25">
      <c r="A7931" s="7"/>
    </row>
    <row r="7932" spans="1:1" x14ac:dyDescent="0.25">
      <c r="A7932" s="7"/>
    </row>
    <row r="7933" spans="1:1" x14ac:dyDescent="0.25">
      <c r="A7933" s="7"/>
    </row>
    <row r="7934" spans="1:1" x14ac:dyDescent="0.25">
      <c r="A7934" s="7"/>
    </row>
    <row r="7935" spans="1:1" x14ac:dyDescent="0.25">
      <c r="A7935" s="7"/>
    </row>
    <row r="7936" spans="1:1" x14ac:dyDescent="0.25">
      <c r="A7936" s="7"/>
    </row>
    <row r="7937" spans="1:1" x14ac:dyDescent="0.25">
      <c r="A7937" s="7"/>
    </row>
    <row r="7938" spans="1:1" x14ac:dyDescent="0.25">
      <c r="A7938" s="7"/>
    </row>
    <row r="7939" spans="1:1" x14ac:dyDescent="0.25">
      <c r="A7939" s="7"/>
    </row>
    <row r="7940" spans="1:1" x14ac:dyDescent="0.25">
      <c r="A7940" s="7"/>
    </row>
    <row r="7941" spans="1:1" x14ac:dyDescent="0.25">
      <c r="A7941" s="7"/>
    </row>
    <row r="7942" spans="1:1" x14ac:dyDescent="0.25">
      <c r="A7942" s="7"/>
    </row>
    <row r="7943" spans="1:1" x14ac:dyDescent="0.25">
      <c r="A7943" s="7"/>
    </row>
    <row r="7944" spans="1:1" x14ac:dyDescent="0.25">
      <c r="A7944" s="7"/>
    </row>
    <row r="7945" spans="1:1" x14ac:dyDescent="0.25">
      <c r="A7945" s="7"/>
    </row>
    <row r="7946" spans="1:1" x14ac:dyDescent="0.25">
      <c r="A7946" s="7"/>
    </row>
    <row r="7947" spans="1:1" x14ac:dyDescent="0.25">
      <c r="A7947" s="7"/>
    </row>
    <row r="7948" spans="1:1" x14ac:dyDescent="0.25">
      <c r="A7948" s="7"/>
    </row>
    <row r="7949" spans="1:1" x14ac:dyDescent="0.25">
      <c r="A7949" s="7"/>
    </row>
    <row r="7950" spans="1:1" x14ac:dyDescent="0.25">
      <c r="A7950" s="7"/>
    </row>
    <row r="7951" spans="1:1" x14ac:dyDescent="0.25">
      <c r="A7951" s="7"/>
    </row>
    <row r="7952" spans="1:1" x14ac:dyDescent="0.25">
      <c r="A7952" s="7"/>
    </row>
    <row r="7953" spans="1:1" x14ac:dyDescent="0.25">
      <c r="A7953" s="7"/>
    </row>
    <row r="7954" spans="1:1" x14ac:dyDescent="0.25">
      <c r="A7954" s="7"/>
    </row>
    <row r="7955" spans="1:1" x14ac:dyDescent="0.25">
      <c r="A7955" s="7"/>
    </row>
    <row r="7956" spans="1:1" x14ac:dyDescent="0.25">
      <c r="A7956" s="7"/>
    </row>
    <row r="7957" spans="1:1" x14ac:dyDescent="0.25">
      <c r="A7957" s="7"/>
    </row>
    <row r="7958" spans="1:1" x14ac:dyDescent="0.25">
      <c r="A7958" s="7"/>
    </row>
    <row r="7959" spans="1:1" x14ac:dyDescent="0.25">
      <c r="A7959" s="7"/>
    </row>
    <row r="7960" spans="1:1" x14ac:dyDescent="0.25">
      <c r="A7960" s="7"/>
    </row>
    <row r="7961" spans="1:1" x14ac:dyDescent="0.25">
      <c r="A7961" s="7"/>
    </row>
    <row r="7962" spans="1:1" x14ac:dyDescent="0.25">
      <c r="A7962" s="7"/>
    </row>
    <row r="7963" spans="1:1" x14ac:dyDescent="0.25">
      <c r="A7963" s="7"/>
    </row>
    <row r="7964" spans="1:1" x14ac:dyDescent="0.25">
      <c r="A7964" s="7"/>
    </row>
    <row r="7965" spans="1:1" x14ac:dyDescent="0.25">
      <c r="A7965" s="7"/>
    </row>
    <row r="7966" spans="1:1" x14ac:dyDescent="0.25">
      <c r="A7966" s="7"/>
    </row>
    <row r="7967" spans="1:1" x14ac:dyDescent="0.25">
      <c r="A7967" s="7"/>
    </row>
    <row r="7968" spans="1:1" x14ac:dyDescent="0.25">
      <c r="A7968" s="7"/>
    </row>
    <row r="7969" spans="1:1" x14ac:dyDescent="0.25">
      <c r="A7969" s="7"/>
    </row>
    <row r="7970" spans="1:1" x14ac:dyDescent="0.25">
      <c r="A7970" s="7"/>
    </row>
    <row r="7971" spans="1:1" x14ac:dyDescent="0.25">
      <c r="A7971" s="7"/>
    </row>
    <row r="7972" spans="1:1" x14ac:dyDescent="0.25">
      <c r="A7972" s="7"/>
    </row>
    <row r="7973" spans="1:1" x14ac:dyDescent="0.25">
      <c r="A7973" s="7"/>
    </row>
    <row r="7974" spans="1:1" x14ac:dyDescent="0.25">
      <c r="A7974" s="7"/>
    </row>
    <row r="7975" spans="1:1" x14ac:dyDescent="0.25">
      <c r="A7975" s="7"/>
    </row>
    <row r="7976" spans="1:1" x14ac:dyDescent="0.25">
      <c r="A7976" s="7"/>
    </row>
    <row r="7977" spans="1:1" x14ac:dyDescent="0.25">
      <c r="A7977" s="7"/>
    </row>
    <row r="7978" spans="1:1" x14ac:dyDescent="0.25">
      <c r="A7978" s="7"/>
    </row>
    <row r="7979" spans="1:1" x14ac:dyDescent="0.25">
      <c r="A7979" s="7"/>
    </row>
    <row r="7980" spans="1:1" x14ac:dyDescent="0.25">
      <c r="A7980" s="7"/>
    </row>
    <row r="7981" spans="1:1" x14ac:dyDescent="0.25">
      <c r="A7981" s="7"/>
    </row>
    <row r="7982" spans="1:1" x14ac:dyDescent="0.25">
      <c r="A7982" s="7"/>
    </row>
    <row r="7983" spans="1:1" x14ac:dyDescent="0.25">
      <c r="A7983" s="7"/>
    </row>
    <row r="7984" spans="1:1" x14ac:dyDescent="0.25">
      <c r="A7984" s="7"/>
    </row>
    <row r="7985" spans="1:1" x14ac:dyDescent="0.25">
      <c r="A7985" s="7"/>
    </row>
    <row r="7986" spans="1:1" x14ac:dyDescent="0.25">
      <c r="A7986" s="7"/>
    </row>
    <row r="7987" spans="1:1" x14ac:dyDescent="0.25">
      <c r="A7987" s="7"/>
    </row>
    <row r="7988" spans="1:1" x14ac:dyDescent="0.25">
      <c r="A7988" s="7"/>
    </row>
    <row r="7989" spans="1:1" x14ac:dyDescent="0.25">
      <c r="A7989" s="7"/>
    </row>
    <row r="7990" spans="1:1" x14ac:dyDescent="0.25">
      <c r="A7990" s="7"/>
    </row>
    <row r="7991" spans="1:1" x14ac:dyDescent="0.25">
      <c r="A7991" s="7"/>
    </row>
    <row r="7992" spans="1:1" x14ac:dyDescent="0.25">
      <c r="A7992" s="7"/>
    </row>
    <row r="7993" spans="1:1" x14ac:dyDescent="0.25">
      <c r="A7993" s="7"/>
    </row>
    <row r="7994" spans="1:1" x14ac:dyDescent="0.25">
      <c r="A7994" s="7"/>
    </row>
    <row r="7995" spans="1:1" x14ac:dyDescent="0.25">
      <c r="A7995" s="7"/>
    </row>
    <row r="7996" spans="1:1" x14ac:dyDescent="0.25">
      <c r="A7996" s="7"/>
    </row>
    <row r="7997" spans="1:1" x14ac:dyDescent="0.25">
      <c r="A7997" s="7"/>
    </row>
    <row r="7998" spans="1:1" x14ac:dyDescent="0.25">
      <c r="A7998" s="7"/>
    </row>
    <row r="7999" spans="1:1" x14ac:dyDescent="0.25">
      <c r="A7999" s="7"/>
    </row>
    <row r="8000" spans="1:1" x14ac:dyDescent="0.25">
      <c r="A8000" s="7"/>
    </row>
    <row r="8001" spans="1:1" x14ac:dyDescent="0.25">
      <c r="A8001" s="7"/>
    </row>
    <row r="8002" spans="1:1" x14ac:dyDescent="0.25">
      <c r="A8002" s="7"/>
    </row>
    <row r="8003" spans="1:1" x14ac:dyDescent="0.25">
      <c r="A8003" s="7"/>
    </row>
    <row r="8004" spans="1:1" x14ac:dyDescent="0.25">
      <c r="A8004" s="7"/>
    </row>
    <row r="8005" spans="1:1" x14ac:dyDescent="0.25">
      <c r="A8005" s="7"/>
    </row>
    <row r="8006" spans="1:1" x14ac:dyDescent="0.25">
      <c r="A8006" s="7"/>
    </row>
    <row r="8007" spans="1:1" x14ac:dyDescent="0.25">
      <c r="A8007" s="7"/>
    </row>
    <row r="8008" spans="1:1" x14ac:dyDescent="0.25">
      <c r="A8008" s="7"/>
    </row>
    <row r="8009" spans="1:1" x14ac:dyDescent="0.25">
      <c r="A8009" s="7"/>
    </row>
    <row r="8010" spans="1:1" x14ac:dyDescent="0.25">
      <c r="A8010" s="7"/>
    </row>
    <row r="8011" spans="1:1" x14ac:dyDescent="0.25">
      <c r="A8011" s="7"/>
    </row>
    <row r="8012" spans="1:1" x14ac:dyDescent="0.25">
      <c r="A8012" s="7"/>
    </row>
    <row r="8013" spans="1:1" x14ac:dyDescent="0.25">
      <c r="A8013" s="7"/>
    </row>
    <row r="8014" spans="1:1" x14ac:dyDescent="0.25">
      <c r="A8014" s="7"/>
    </row>
    <row r="8015" spans="1:1" x14ac:dyDescent="0.25">
      <c r="A8015" s="7"/>
    </row>
    <row r="8016" spans="1:1" x14ac:dyDescent="0.25">
      <c r="A8016" s="7"/>
    </row>
    <row r="8017" spans="1:1" x14ac:dyDescent="0.25">
      <c r="A8017" s="7"/>
    </row>
    <row r="8018" spans="1:1" x14ac:dyDescent="0.25">
      <c r="A8018" s="7"/>
    </row>
    <row r="8019" spans="1:1" x14ac:dyDescent="0.25">
      <c r="A8019" s="7"/>
    </row>
    <row r="8020" spans="1:1" x14ac:dyDescent="0.25">
      <c r="A8020" s="7"/>
    </row>
    <row r="8021" spans="1:1" x14ac:dyDescent="0.25">
      <c r="A8021" s="7"/>
    </row>
    <row r="8022" spans="1:1" x14ac:dyDescent="0.25">
      <c r="A8022" s="7"/>
    </row>
    <row r="8023" spans="1:1" x14ac:dyDescent="0.25">
      <c r="A8023" s="7"/>
    </row>
    <row r="8024" spans="1:1" x14ac:dyDescent="0.25">
      <c r="A8024" s="7"/>
    </row>
    <row r="8025" spans="1:1" x14ac:dyDescent="0.25">
      <c r="A8025" s="7"/>
    </row>
    <row r="8026" spans="1:1" x14ac:dyDescent="0.25">
      <c r="A8026" s="7"/>
    </row>
    <row r="8027" spans="1:1" x14ac:dyDescent="0.25">
      <c r="A8027" s="7"/>
    </row>
    <row r="8028" spans="1:1" x14ac:dyDescent="0.25">
      <c r="A8028" s="7"/>
    </row>
    <row r="8029" spans="1:1" x14ac:dyDescent="0.25">
      <c r="A8029" s="7"/>
    </row>
    <row r="8030" spans="1:1" x14ac:dyDescent="0.25">
      <c r="A8030" s="7"/>
    </row>
    <row r="8031" spans="1:1" x14ac:dyDescent="0.25">
      <c r="A8031" s="7"/>
    </row>
    <row r="8032" spans="1:1" x14ac:dyDescent="0.25">
      <c r="A8032" s="7"/>
    </row>
    <row r="8033" spans="1:1" x14ac:dyDescent="0.25">
      <c r="A8033" s="7"/>
    </row>
    <row r="8034" spans="1:1" x14ac:dyDescent="0.25">
      <c r="A8034" s="7"/>
    </row>
    <row r="8035" spans="1:1" x14ac:dyDescent="0.25">
      <c r="A8035" s="7"/>
    </row>
    <row r="8036" spans="1:1" x14ac:dyDescent="0.25">
      <c r="A8036" s="7"/>
    </row>
    <row r="8037" spans="1:1" x14ac:dyDescent="0.25">
      <c r="A8037" s="7"/>
    </row>
    <row r="8038" spans="1:1" x14ac:dyDescent="0.25">
      <c r="A8038" s="7"/>
    </row>
    <row r="8039" spans="1:1" x14ac:dyDescent="0.25">
      <c r="A8039" s="7"/>
    </row>
    <row r="8040" spans="1:1" x14ac:dyDescent="0.25">
      <c r="A8040" s="7"/>
    </row>
    <row r="8041" spans="1:1" x14ac:dyDescent="0.25">
      <c r="A8041" s="7"/>
    </row>
    <row r="8042" spans="1:1" x14ac:dyDescent="0.25">
      <c r="A8042" s="7"/>
    </row>
    <row r="8043" spans="1:1" x14ac:dyDescent="0.25">
      <c r="A8043" s="7"/>
    </row>
    <row r="8044" spans="1:1" x14ac:dyDescent="0.25">
      <c r="A8044" s="7"/>
    </row>
    <row r="8045" spans="1:1" x14ac:dyDescent="0.25">
      <c r="A8045" s="7"/>
    </row>
    <row r="8046" spans="1:1" x14ac:dyDescent="0.25">
      <c r="A8046" s="7"/>
    </row>
    <row r="8047" spans="1:1" x14ac:dyDescent="0.25">
      <c r="A8047" s="7"/>
    </row>
    <row r="8048" spans="1:1" x14ac:dyDescent="0.25">
      <c r="A8048" s="7"/>
    </row>
    <row r="8049" spans="1:1" x14ac:dyDescent="0.25">
      <c r="A8049" s="7"/>
    </row>
    <row r="8050" spans="1:1" x14ac:dyDescent="0.25">
      <c r="A8050" s="7"/>
    </row>
    <row r="8051" spans="1:1" x14ac:dyDescent="0.25">
      <c r="A8051" s="7"/>
    </row>
    <row r="8052" spans="1:1" x14ac:dyDescent="0.25">
      <c r="A8052" s="7"/>
    </row>
    <row r="8053" spans="1:1" x14ac:dyDescent="0.25">
      <c r="A8053" s="7"/>
    </row>
    <row r="8054" spans="1:1" x14ac:dyDescent="0.25">
      <c r="A8054" s="7"/>
    </row>
    <row r="8055" spans="1:1" x14ac:dyDescent="0.25">
      <c r="A8055" s="7"/>
    </row>
    <row r="8056" spans="1:1" x14ac:dyDescent="0.25">
      <c r="A8056" s="7"/>
    </row>
    <row r="8057" spans="1:1" x14ac:dyDescent="0.25">
      <c r="A8057" s="7"/>
    </row>
    <row r="8058" spans="1:1" x14ac:dyDescent="0.25">
      <c r="A8058" s="7"/>
    </row>
    <row r="8059" spans="1:1" x14ac:dyDescent="0.25">
      <c r="A8059" s="7"/>
    </row>
    <row r="8060" spans="1:1" x14ac:dyDescent="0.25">
      <c r="A8060" s="7"/>
    </row>
    <row r="8061" spans="1:1" x14ac:dyDescent="0.25">
      <c r="A8061" s="7"/>
    </row>
    <row r="8062" spans="1:1" x14ac:dyDescent="0.25">
      <c r="A8062" s="7"/>
    </row>
    <row r="8063" spans="1:1" x14ac:dyDescent="0.25">
      <c r="A8063" s="7"/>
    </row>
    <row r="8064" spans="1:1" x14ac:dyDescent="0.25">
      <c r="A8064" s="7"/>
    </row>
    <row r="8065" spans="1:1" x14ac:dyDescent="0.25">
      <c r="A8065" s="7"/>
    </row>
    <row r="8066" spans="1:1" x14ac:dyDescent="0.25">
      <c r="A8066" s="7"/>
    </row>
    <row r="8067" spans="1:1" x14ac:dyDescent="0.25">
      <c r="A8067" s="7"/>
    </row>
    <row r="8068" spans="1:1" x14ac:dyDescent="0.25">
      <c r="A8068" s="7"/>
    </row>
    <row r="8069" spans="1:1" x14ac:dyDescent="0.25">
      <c r="A8069" s="7"/>
    </row>
    <row r="8070" spans="1:1" x14ac:dyDescent="0.25">
      <c r="A8070" s="7"/>
    </row>
    <row r="8071" spans="1:1" x14ac:dyDescent="0.25">
      <c r="A8071" s="7"/>
    </row>
    <row r="8072" spans="1:1" x14ac:dyDescent="0.25">
      <c r="A8072" s="7"/>
    </row>
    <row r="8073" spans="1:1" x14ac:dyDescent="0.25">
      <c r="A8073" s="7"/>
    </row>
    <row r="8074" spans="1:1" x14ac:dyDescent="0.25">
      <c r="A8074" s="7"/>
    </row>
    <row r="8075" spans="1:1" x14ac:dyDescent="0.25">
      <c r="A8075" s="7"/>
    </row>
    <row r="8076" spans="1:1" x14ac:dyDescent="0.25">
      <c r="A8076" s="7"/>
    </row>
    <row r="8077" spans="1:1" x14ac:dyDescent="0.25">
      <c r="A8077" s="7"/>
    </row>
    <row r="8078" spans="1:1" x14ac:dyDescent="0.25">
      <c r="A8078" s="7"/>
    </row>
    <row r="8079" spans="1:1" x14ac:dyDescent="0.25">
      <c r="A8079" s="7"/>
    </row>
    <row r="8080" spans="1:1" x14ac:dyDescent="0.25">
      <c r="A8080" s="7"/>
    </row>
    <row r="8081" spans="1:1" x14ac:dyDescent="0.25">
      <c r="A8081" s="7"/>
    </row>
    <row r="8082" spans="1:1" x14ac:dyDescent="0.25">
      <c r="A8082" s="7"/>
    </row>
    <row r="8083" spans="1:1" x14ac:dyDescent="0.25">
      <c r="A8083" s="7"/>
    </row>
    <row r="8084" spans="1:1" x14ac:dyDescent="0.25">
      <c r="A8084" s="7"/>
    </row>
    <row r="8085" spans="1:1" x14ac:dyDescent="0.25">
      <c r="A8085" s="7"/>
    </row>
    <row r="8086" spans="1:1" x14ac:dyDescent="0.25">
      <c r="A8086" s="7"/>
    </row>
    <row r="8087" spans="1:1" x14ac:dyDescent="0.25">
      <c r="A8087" s="7"/>
    </row>
    <row r="8088" spans="1:1" x14ac:dyDescent="0.25">
      <c r="A8088" s="7"/>
    </row>
    <row r="8089" spans="1:1" x14ac:dyDescent="0.25">
      <c r="A8089" s="7"/>
    </row>
    <row r="8090" spans="1:1" x14ac:dyDescent="0.25">
      <c r="A8090" s="7"/>
    </row>
    <row r="8091" spans="1:1" x14ac:dyDescent="0.25">
      <c r="A8091" s="7"/>
    </row>
    <row r="8092" spans="1:1" x14ac:dyDescent="0.25">
      <c r="A8092" s="7"/>
    </row>
    <row r="8093" spans="1:1" x14ac:dyDescent="0.25">
      <c r="A8093" s="7"/>
    </row>
    <row r="8094" spans="1:1" x14ac:dyDescent="0.25">
      <c r="A8094" s="7"/>
    </row>
    <row r="8095" spans="1:1" x14ac:dyDescent="0.25">
      <c r="A8095" s="7"/>
    </row>
    <row r="8096" spans="1:1" x14ac:dyDescent="0.25">
      <c r="A8096" s="7"/>
    </row>
    <row r="8097" spans="1:1" x14ac:dyDescent="0.25">
      <c r="A8097" s="7"/>
    </row>
    <row r="8098" spans="1:1" x14ac:dyDescent="0.25">
      <c r="A8098" s="7"/>
    </row>
    <row r="8099" spans="1:1" x14ac:dyDescent="0.25">
      <c r="A8099" s="7"/>
    </row>
    <row r="8100" spans="1:1" x14ac:dyDescent="0.25">
      <c r="A8100" s="7"/>
    </row>
    <row r="8101" spans="1:1" x14ac:dyDescent="0.25">
      <c r="A8101" s="7"/>
    </row>
    <row r="8102" spans="1:1" x14ac:dyDescent="0.25">
      <c r="A8102" s="7"/>
    </row>
    <row r="8103" spans="1:1" x14ac:dyDescent="0.25">
      <c r="A8103" s="7"/>
    </row>
    <row r="8104" spans="1:1" x14ac:dyDescent="0.25">
      <c r="A8104" s="7"/>
    </row>
    <row r="8105" spans="1:1" x14ac:dyDescent="0.25">
      <c r="A8105" s="7"/>
    </row>
    <row r="8106" spans="1:1" x14ac:dyDescent="0.25">
      <c r="A8106" s="7"/>
    </row>
    <row r="8107" spans="1:1" x14ac:dyDescent="0.25">
      <c r="A8107" s="7"/>
    </row>
    <row r="8108" spans="1:1" x14ac:dyDescent="0.25">
      <c r="A8108" s="7"/>
    </row>
    <row r="8109" spans="1:1" x14ac:dyDescent="0.25">
      <c r="A8109" s="7"/>
    </row>
    <row r="8110" spans="1:1" x14ac:dyDescent="0.25">
      <c r="A8110" s="7"/>
    </row>
    <row r="8111" spans="1:1" x14ac:dyDescent="0.25">
      <c r="A8111" s="7"/>
    </row>
    <row r="8112" spans="1:1" x14ac:dyDescent="0.25">
      <c r="A8112" s="7"/>
    </row>
    <row r="8113" spans="1:1" x14ac:dyDescent="0.25">
      <c r="A8113" s="7"/>
    </row>
    <row r="8114" spans="1:1" x14ac:dyDescent="0.25">
      <c r="A8114" s="7"/>
    </row>
    <row r="8115" spans="1:1" x14ac:dyDescent="0.25">
      <c r="A8115" s="7"/>
    </row>
    <row r="8116" spans="1:1" x14ac:dyDescent="0.25">
      <c r="A8116" s="7"/>
    </row>
    <row r="8117" spans="1:1" x14ac:dyDescent="0.25">
      <c r="A8117" s="7"/>
    </row>
    <row r="8118" spans="1:1" x14ac:dyDescent="0.25">
      <c r="A8118" s="7"/>
    </row>
    <row r="8119" spans="1:1" x14ac:dyDescent="0.25">
      <c r="A8119" s="7"/>
    </row>
    <row r="8120" spans="1:1" x14ac:dyDescent="0.25">
      <c r="A8120" s="7"/>
    </row>
    <row r="8121" spans="1:1" x14ac:dyDescent="0.25">
      <c r="A8121" s="7"/>
    </row>
    <row r="8122" spans="1:1" x14ac:dyDescent="0.25">
      <c r="A8122" s="7"/>
    </row>
    <row r="8123" spans="1:1" x14ac:dyDescent="0.25">
      <c r="A8123" s="7"/>
    </row>
    <row r="8124" spans="1:1" x14ac:dyDescent="0.25">
      <c r="A8124" s="7"/>
    </row>
    <row r="8125" spans="1:1" x14ac:dyDescent="0.25">
      <c r="A8125" s="7"/>
    </row>
    <row r="8126" spans="1:1" x14ac:dyDescent="0.25">
      <c r="A8126" s="7"/>
    </row>
    <row r="8127" spans="1:1" x14ac:dyDescent="0.25">
      <c r="A8127" s="7"/>
    </row>
    <row r="8128" spans="1:1" x14ac:dyDescent="0.25">
      <c r="A8128" s="7"/>
    </row>
    <row r="8129" spans="1:1" x14ac:dyDescent="0.25">
      <c r="A8129" s="7"/>
    </row>
    <row r="8130" spans="1:1" x14ac:dyDescent="0.25">
      <c r="A8130" s="7"/>
    </row>
    <row r="8131" spans="1:1" x14ac:dyDescent="0.25">
      <c r="A8131" s="7"/>
    </row>
    <row r="8132" spans="1:1" x14ac:dyDescent="0.25">
      <c r="A8132" s="7"/>
    </row>
    <row r="8133" spans="1:1" x14ac:dyDescent="0.25">
      <c r="A8133" s="7"/>
    </row>
    <row r="8134" spans="1:1" x14ac:dyDescent="0.25">
      <c r="A8134" s="7"/>
    </row>
    <row r="8135" spans="1:1" x14ac:dyDescent="0.25">
      <c r="A8135" s="7"/>
    </row>
    <row r="8136" spans="1:1" x14ac:dyDescent="0.25">
      <c r="A8136" s="7"/>
    </row>
    <row r="8137" spans="1:1" x14ac:dyDescent="0.25">
      <c r="A8137" s="7"/>
    </row>
    <row r="8138" spans="1:1" x14ac:dyDescent="0.25">
      <c r="A8138" s="7"/>
    </row>
    <row r="8139" spans="1:1" x14ac:dyDescent="0.25">
      <c r="A8139" s="7"/>
    </row>
    <row r="8140" spans="1:1" x14ac:dyDescent="0.25">
      <c r="A8140" s="7"/>
    </row>
    <row r="8141" spans="1:1" x14ac:dyDescent="0.25">
      <c r="A8141" s="7"/>
    </row>
    <row r="8142" spans="1:1" x14ac:dyDescent="0.25">
      <c r="A8142" s="7"/>
    </row>
    <row r="8143" spans="1:1" x14ac:dyDescent="0.25">
      <c r="A8143" s="7"/>
    </row>
    <row r="8144" spans="1:1" x14ac:dyDescent="0.25">
      <c r="A8144" s="7"/>
    </row>
    <row r="8145" spans="1:1" x14ac:dyDescent="0.25">
      <c r="A8145" s="7"/>
    </row>
    <row r="8146" spans="1:1" x14ac:dyDescent="0.25">
      <c r="A8146" s="7"/>
    </row>
    <row r="8147" spans="1:1" x14ac:dyDescent="0.25">
      <c r="A8147" s="7"/>
    </row>
    <row r="8148" spans="1:1" x14ac:dyDescent="0.25">
      <c r="A8148" s="7"/>
    </row>
    <row r="8149" spans="1:1" x14ac:dyDescent="0.25">
      <c r="A8149" s="7"/>
    </row>
    <row r="8150" spans="1:1" x14ac:dyDescent="0.25">
      <c r="A8150" s="7"/>
    </row>
    <row r="8151" spans="1:1" x14ac:dyDescent="0.25">
      <c r="A8151" s="7"/>
    </row>
    <row r="8152" spans="1:1" x14ac:dyDescent="0.25">
      <c r="A8152" s="7"/>
    </row>
    <row r="8153" spans="1:1" x14ac:dyDescent="0.25">
      <c r="A8153" s="7"/>
    </row>
    <row r="8154" spans="1:1" x14ac:dyDescent="0.25">
      <c r="A8154" s="7"/>
    </row>
    <row r="8155" spans="1:1" x14ac:dyDescent="0.25">
      <c r="A8155" s="7"/>
    </row>
    <row r="8156" spans="1:1" x14ac:dyDescent="0.25">
      <c r="A8156" s="7"/>
    </row>
    <row r="8157" spans="1:1" x14ac:dyDescent="0.25">
      <c r="A8157" s="7"/>
    </row>
    <row r="8158" spans="1:1" x14ac:dyDescent="0.25">
      <c r="A8158" s="7"/>
    </row>
    <row r="8159" spans="1:1" x14ac:dyDescent="0.25">
      <c r="A8159" s="7"/>
    </row>
    <row r="8160" spans="1:1" x14ac:dyDescent="0.25">
      <c r="A8160" s="7"/>
    </row>
    <row r="8161" spans="1:1" x14ac:dyDescent="0.25">
      <c r="A8161" s="7"/>
    </row>
    <row r="8162" spans="1:1" x14ac:dyDescent="0.25">
      <c r="A8162" s="7"/>
    </row>
    <row r="8163" spans="1:1" x14ac:dyDescent="0.25">
      <c r="A8163" s="7"/>
    </row>
    <row r="8164" spans="1:1" x14ac:dyDescent="0.25">
      <c r="A8164" s="7"/>
    </row>
    <row r="8165" spans="1:1" x14ac:dyDescent="0.25">
      <c r="A8165" s="7"/>
    </row>
    <row r="8166" spans="1:1" x14ac:dyDescent="0.25">
      <c r="A8166" s="7"/>
    </row>
    <row r="8167" spans="1:1" x14ac:dyDescent="0.25">
      <c r="A8167" s="7"/>
    </row>
    <row r="8168" spans="1:1" x14ac:dyDescent="0.25">
      <c r="A8168" s="7"/>
    </row>
    <row r="8169" spans="1:1" x14ac:dyDescent="0.25">
      <c r="A8169" s="7"/>
    </row>
    <row r="8170" spans="1:1" x14ac:dyDescent="0.25">
      <c r="A8170" s="7"/>
    </row>
    <row r="8171" spans="1:1" x14ac:dyDescent="0.25">
      <c r="A8171" s="7"/>
    </row>
    <row r="8172" spans="1:1" x14ac:dyDescent="0.25">
      <c r="A8172" s="7"/>
    </row>
    <row r="8173" spans="1:1" x14ac:dyDescent="0.25">
      <c r="A8173" s="7"/>
    </row>
    <row r="8174" spans="1:1" x14ac:dyDescent="0.25">
      <c r="A8174" s="7"/>
    </row>
    <row r="8175" spans="1:1" x14ac:dyDescent="0.25">
      <c r="A8175" s="7"/>
    </row>
    <row r="8176" spans="1:1" x14ac:dyDescent="0.25">
      <c r="A8176" s="7"/>
    </row>
    <row r="8177" spans="1:1" x14ac:dyDescent="0.25">
      <c r="A8177" s="7"/>
    </row>
    <row r="8178" spans="1:1" x14ac:dyDescent="0.25">
      <c r="A8178" s="7"/>
    </row>
    <row r="8179" spans="1:1" x14ac:dyDescent="0.25">
      <c r="A8179" s="7"/>
    </row>
    <row r="8180" spans="1:1" x14ac:dyDescent="0.25">
      <c r="A8180" s="7"/>
    </row>
    <row r="8181" spans="1:1" x14ac:dyDescent="0.25">
      <c r="A8181" s="7"/>
    </row>
    <row r="8182" spans="1:1" x14ac:dyDescent="0.25">
      <c r="A8182" s="7"/>
    </row>
    <row r="8183" spans="1:1" x14ac:dyDescent="0.25">
      <c r="A8183" s="7"/>
    </row>
    <row r="8184" spans="1:1" x14ac:dyDescent="0.25">
      <c r="A8184" s="7"/>
    </row>
    <row r="8185" spans="1:1" x14ac:dyDescent="0.25">
      <c r="A8185" s="7"/>
    </row>
    <row r="8186" spans="1:1" x14ac:dyDescent="0.25">
      <c r="A8186" s="7"/>
    </row>
    <row r="8187" spans="1:1" x14ac:dyDescent="0.25">
      <c r="A8187" s="7"/>
    </row>
    <row r="8188" spans="1:1" x14ac:dyDescent="0.25">
      <c r="A8188" s="7"/>
    </row>
    <row r="8189" spans="1:1" x14ac:dyDescent="0.25">
      <c r="A8189" s="7"/>
    </row>
    <row r="8190" spans="1:1" x14ac:dyDescent="0.25">
      <c r="A8190" s="7"/>
    </row>
    <row r="8191" spans="1:1" x14ac:dyDescent="0.25">
      <c r="A8191" s="7"/>
    </row>
    <row r="8192" spans="1:1" x14ac:dyDescent="0.25">
      <c r="A8192" s="7"/>
    </row>
    <row r="8193" spans="1:1" x14ac:dyDescent="0.25">
      <c r="A8193" s="7"/>
    </row>
    <row r="8194" spans="1:1" x14ac:dyDescent="0.25">
      <c r="A8194" s="7"/>
    </row>
    <row r="8195" spans="1:1" x14ac:dyDescent="0.25">
      <c r="A8195" s="7"/>
    </row>
    <row r="8196" spans="1:1" x14ac:dyDescent="0.25">
      <c r="A8196" s="7"/>
    </row>
    <row r="8197" spans="1:1" x14ac:dyDescent="0.25">
      <c r="A8197" s="7"/>
    </row>
    <row r="8198" spans="1:1" x14ac:dyDescent="0.25">
      <c r="A8198" s="7"/>
    </row>
    <row r="8199" spans="1:1" x14ac:dyDescent="0.25">
      <c r="A8199" s="7"/>
    </row>
    <row r="8200" spans="1:1" x14ac:dyDescent="0.25">
      <c r="A8200" s="7"/>
    </row>
    <row r="8201" spans="1:1" x14ac:dyDescent="0.25">
      <c r="A8201" s="7"/>
    </row>
    <row r="8202" spans="1:1" x14ac:dyDescent="0.25">
      <c r="A8202" s="7"/>
    </row>
    <row r="8203" spans="1:1" x14ac:dyDescent="0.25">
      <c r="A8203" s="7"/>
    </row>
    <row r="8204" spans="1:1" x14ac:dyDescent="0.25">
      <c r="A8204" s="7"/>
    </row>
    <row r="8205" spans="1:1" x14ac:dyDescent="0.25">
      <c r="A8205" s="7"/>
    </row>
    <row r="8206" spans="1:1" x14ac:dyDescent="0.25">
      <c r="A8206" s="7"/>
    </row>
    <row r="8207" spans="1:1" x14ac:dyDescent="0.25">
      <c r="A8207" s="7"/>
    </row>
    <row r="8208" spans="1:1" x14ac:dyDescent="0.25">
      <c r="A8208" s="7"/>
    </row>
    <row r="8209" spans="1:1" x14ac:dyDescent="0.25">
      <c r="A8209" s="7"/>
    </row>
    <row r="8210" spans="1:1" x14ac:dyDescent="0.25">
      <c r="A8210" s="7"/>
    </row>
    <row r="8211" spans="1:1" x14ac:dyDescent="0.25">
      <c r="A8211" s="7"/>
    </row>
    <row r="8212" spans="1:1" x14ac:dyDescent="0.25">
      <c r="A8212" s="7"/>
    </row>
    <row r="8213" spans="1:1" x14ac:dyDescent="0.25">
      <c r="A8213" s="7"/>
    </row>
    <row r="8214" spans="1:1" x14ac:dyDescent="0.25">
      <c r="A8214" s="7"/>
    </row>
    <row r="8215" spans="1:1" x14ac:dyDescent="0.25">
      <c r="A8215" s="7"/>
    </row>
    <row r="8216" spans="1:1" x14ac:dyDescent="0.25">
      <c r="A8216" s="7"/>
    </row>
    <row r="8217" spans="1:1" x14ac:dyDescent="0.25">
      <c r="A8217" s="7"/>
    </row>
    <row r="8218" spans="1:1" x14ac:dyDescent="0.25">
      <c r="A8218" s="7"/>
    </row>
    <row r="8219" spans="1:1" x14ac:dyDescent="0.25">
      <c r="A8219" s="7"/>
    </row>
    <row r="8220" spans="1:1" x14ac:dyDescent="0.25">
      <c r="A8220" s="7"/>
    </row>
    <row r="8221" spans="1:1" x14ac:dyDescent="0.25">
      <c r="A8221" s="7"/>
    </row>
    <row r="8222" spans="1:1" x14ac:dyDescent="0.25">
      <c r="A8222" s="7"/>
    </row>
    <row r="8223" spans="1:1" x14ac:dyDescent="0.25">
      <c r="A8223" s="7"/>
    </row>
    <row r="8224" spans="1:1" x14ac:dyDescent="0.25">
      <c r="A8224" s="7"/>
    </row>
    <row r="8225" spans="1:1" x14ac:dyDescent="0.25">
      <c r="A8225" s="7"/>
    </row>
    <row r="8226" spans="1:1" x14ac:dyDescent="0.25">
      <c r="A8226" s="7"/>
    </row>
    <row r="8227" spans="1:1" x14ac:dyDescent="0.25">
      <c r="A8227" s="7"/>
    </row>
    <row r="8228" spans="1:1" x14ac:dyDescent="0.25">
      <c r="A8228" s="7"/>
    </row>
    <row r="8229" spans="1:1" x14ac:dyDescent="0.25">
      <c r="A8229" s="7"/>
    </row>
    <row r="8230" spans="1:1" x14ac:dyDescent="0.25">
      <c r="A8230" s="7"/>
    </row>
    <row r="8231" spans="1:1" x14ac:dyDescent="0.25">
      <c r="A8231" s="7"/>
    </row>
    <row r="8232" spans="1:1" x14ac:dyDescent="0.25">
      <c r="A8232" s="7"/>
    </row>
    <row r="8233" spans="1:1" x14ac:dyDescent="0.25">
      <c r="A8233" s="7"/>
    </row>
    <row r="8234" spans="1:1" x14ac:dyDescent="0.25">
      <c r="A8234" s="7"/>
    </row>
    <row r="8235" spans="1:1" x14ac:dyDescent="0.25">
      <c r="A8235" s="7"/>
    </row>
    <row r="8236" spans="1:1" x14ac:dyDescent="0.25">
      <c r="A8236" s="7"/>
    </row>
    <row r="8237" spans="1:1" x14ac:dyDescent="0.25">
      <c r="A8237" s="7"/>
    </row>
    <row r="8238" spans="1:1" x14ac:dyDescent="0.25">
      <c r="A8238" s="7"/>
    </row>
    <row r="8239" spans="1:1" x14ac:dyDescent="0.25">
      <c r="A8239" s="7"/>
    </row>
    <row r="8240" spans="1:1" x14ac:dyDescent="0.25">
      <c r="A8240" s="7"/>
    </row>
    <row r="8241" spans="1:1" x14ac:dyDescent="0.25">
      <c r="A8241" s="7"/>
    </row>
    <row r="8242" spans="1:1" x14ac:dyDescent="0.25">
      <c r="A8242" s="7"/>
    </row>
    <row r="8243" spans="1:1" x14ac:dyDescent="0.25">
      <c r="A8243" s="7"/>
    </row>
    <row r="8244" spans="1:1" x14ac:dyDescent="0.25">
      <c r="A8244" s="7"/>
    </row>
    <row r="8245" spans="1:1" x14ac:dyDescent="0.25">
      <c r="A8245" s="7"/>
    </row>
    <row r="8246" spans="1:1" x14ac:dyDescent="0.25">
      <c r="A8246" s="7"/>
    </row>
    <row r="8247" spans="1:1" x14ac:dyDescent="0.25">
      <c r="A8247" s="7"/>
    </row>
    <row r="8248" spans="1:1" x14ac:dyDescent="0.25">
      <c r="A8248" s="7"/>
    </row>
    <row r="8249" spans="1:1" x14ac:dyDescent="0.25">
      <c r="A8249" s="7"/>
    </row>
    <row r="8250" spans="1:1" x14ac:dyDescent="0.25">
      <c r="A8250" s="7"/>
    </row>
    <row r="8251" spans="1:1" x14ac:dyDescent="0.25">
      <c r="A8251" s="7"/>
    </row>
    <row r="8252" spans="1:1" x14ac:dyDescent="0.25">
      <c r="A8252" s="7"/>
    </row>
    <row r="8253" spans="1:1" x14ac:dyDescent="0.25">
      <c r="A8253" s="7"/>
    </row>
    <row r="8254" spans="1:1" x14ac:dyDescent="0.25">
      <c r="A8254" s="7"/>
    </row>
    <row r="8255" spans="1:1" x14ac:dyDescent="0.25">
      <c r="A8255" s="7"/>
    </row>
    <row r="8256" spans="1:1" x14ac:dyDescent="0.25">
      <c r="A8256" s="7"/>
    </row>
    <row r="8257" spans="1:1" x14ac:dyDescent="0.25">
      <c r="A8257" s="7"/>
    </row>
    <row r="8258" spans="1:1" x14ac:dyDescent="0.25">
      <c r="A8258" s="7"/>
    </row>
    <row r="8259" spans="1:1" x14ac:dyDescent="0.25">
      <c r="A8259" s="7"/>
    </row>
    <row r="8260" spans="1:1" x14ac:dyDescent="0.25">
      <c r="A8260" s="7"/>
    </row>
    <row r="8261" spans="1:1" x14ac:dyDescent="0.25">
      <c r="A8261" s="7"/>
    </row>
    <row r="8262" spans="1:1" x14ac:dyDescent="0.25">
      <c r="A8262" s="7"/>
    </row>
    <row r="8263" spans="1:1" x14ac:dyDescent="0.25">
      <c r="A8263" s="7"/>
    </row>
    <row r="8264" spans="1:1" x14ac:dyDescent="0.25">
      <c r="A8264" s="7"/>
    </row>
    <row r="8265" spans="1:1" x14ac:dyDescent="0.25">
      <c r="A8265" s="7"/>
    </row>
    <row r="8266" spans="1:1" x14ac:dyDescent="0.25">
      <c r="A8266" s="7"/>
    </row>
    <row r="8267" spans="1:1" x14ac:dyDescent="0.25">
      <c r="A8267" s="7"/>
    </row>
    <row r="8268" spans="1:1" x14ac:dyDescent="0.25">
      <c r="A8268" s="7"/>
    </row>
    <row r="8269" spans="1:1" x14ac:dyDescent="0.25">
      <c r="A8269" s="7"/>
    </row>
    <row r="8270" spans="1:1" x14ac:dyDescent="0.25">
      <c r="A8270" s="7"/>
    </row>
    <row r="8271" spans="1:1" x14ac:dyDescent="0.25">
      <c r="A8271" s="7"/>
    </row>
    <row r="8272" spans="1:1" x14ac:dyDescent="0.25">
      <c r="A8272" s="7"/>
    </row>
    <row r="8273" spans="1:1" x14ac:dyDescent="0.25">
      <c r="A8273" s="7"/>
    </row>
    <row r="8274" spans="1:1" x14ac:dyDescent="0.25">
      <c r="A8274" s="7"/>
    </row>
    <row r="8275" spans="1:1" x14ac:dyDescent="0.25">
      <c r="A8275" s="7"/>
    </row>
    <row r="8276" spans="1:1" x14ac:dyDescent="0.25">
      <c r="A8276" s="7"/>
    </row>
    <row r="8277" spans="1:1" x14ac:dyDescent="0.25">
      <c r="A8277" s="7"/>
    </row>
    <row r="8278" spans="1:1" x14ac:dyDescent="0.25">
      <c r="A8278" s="7"/>
    </row>
    <row r="8279" spans="1:1" x14ac:dyDescent="0.25">
      <c r="A8279" s="7"/>
    </row>
    <row r="8280" spans="1:1" x14ac:dyDescent="0.25">
      <c r="A8280" s="7"/>
    </row>
    <row r="8281" spans="1:1" x14ac:dyDescent="0.25">
      <c r="A8281" s="7"/>
    </row>
    <row r="8282" spans="1:1" x14ac:dyDescent="0.25">
      <c r="A8282" s="7"/>
    </row>
    <row r="8283" spans="1:1" x14ac:dyDescent="0.25">
      <c r="A8283" s="7"/>
    </row>
    <row r="8284" spans="1:1" x14ac:dyDescent="0.25">
      <c r="A8284" s="7"/>
    </row>
    <row r="8285" spans="1:1" x14ac:dyDescent="0.25">
      <c r="A8285" s="7"/>
    </row>
    <row r="8286" spans="1:1" x14ac:dyDescent="0.25">
      <c r="A8286" s="7"/>
    </row>
    <row r="8287" spans="1:1" x14ac:dyDescent="0.25">
      <c r="A8287" s="7"/>
    </row>
    <row r="8288" spans="1:1" x14ac:dyDescent="0.25">
      <c r="A8288" s="7"/>
    </row>
    <row r="8289" spans="1:1" x14ac:dyDescent="0.25">
      <c r="A8289" s="7"/>
    </row>
    <row r="8290" spans="1:1" x14ac:dyDescent="0.25">
      <c r="A8290" s="7"/>
    </row>
    <row r="8291" spans="1:1" x14ac:dyDescent="0.25">
      <c r="A8291" s="7"/>
    </row>
    <row r="8292" spans="1:1" x14ac:dyDescent="0.25">
      <c r="A8292" s="7"/>
    </row>
    <row r="8293" spans="1:1" x14ac:dyDescent="0.25">
      <c r="A8293" s="7"/>
    </row>
    <row r="8294" spans="1:1" x14ac:dyDescent="0.25">
      <c r="A8294" s="7"/>
    </row>
    <row r="8295" spans="1:1" x14ac:dyDescent="0.25">
      <c r="A8295" s="7"/>
    </row>
    <row r="8296" spans="1:1" x14ac:dyDescent="0.25">
      <c r="A8296" s="7"/>
    </row>
    <row r="8297" spans="1:1" x14ac:dyDescent="0.25">
      <c r="A8297" s="7"/>
    </row>
    <row r="8298" spans="1:1" x14ac:dyDescent="0.25">
      <c r="A8298" s="7"/>
    </row>
    <row r="8299" spans="1:1" x14ac:dyDescent="0.25">
      <c r="A8299" s="7"/>
    </row>
    <row r="8300" spans="1:1" x14ac:dyDescent="0.25">
      <c r="A8300" s="7"/>
    </row>
    <row r="8301" spans="1:1" x14ac:dyDescent="0.25">
      <c r="A8301" s="7"/>
    </row>
    <row r="8302" spans="1:1" x14ac:dyDescent="0.25">
      <c r="A8302" s="7"/>
    </row>
    <row r="8303" spans="1:1" x14ac:dyDescent="0.25">
      <c r="A8303" s="7"/>
    </row>
    <row r="8304" spans="1:1" x14ac:dyDescent="0.25">
      <c r="A8304" s="7"/>
    </row>
    <row r="8305" spans="1:1" x14ac:dyDescent="0.25">
      <c r="A8305" s="7"/>
    </row>
    <row r="8306" spans="1:1" x14ac:dyDescent="0.25">
      <c r="A8306" s="7"/>
    </row>
    <row r="8307" spans="1:1" x14ac:dyDescent="0.25">
      <c r="A8307" s="7"/>
    </row>
    <row r="8308" spans="1:1" x14ac:dyDescent="0.25">
      <c r="A8308" s="7"/>
    </row>
    <row r="8309" spans="1:1" x14ac:dyDescent="0.25">
      <c r="A8309" s="7"/>
    </row>
    <row r="8310" spans="1:1" x14ac:dyDescent="0.25">
      <c r="A8310" s="7"/>
    </row>
    <row r="8311" spans="1:1" x14ac:dyDescent="0.25">
      <c r="A8311" s="7"/>
    </row>
    <row r="8312" spans="1:1" x14ac:dyDescent="0.25">
      <c r="A8312" s="7"/>
    </row>
    <row r="8313" spans="1:1" x14ac:dyDescent="0.25">
      <c r="A8313" s="7"/>
    </row>
    <row r="8314" spans="1:1" x14ac:dyDescent="0.25">
      <c r="A8314" s="7"/>
    </row>
    <row r="8315" spans="1:1" x14ac:dyDescent="0.25">
      <c r="A8315" s="7"/>
    </row>
    <row r="8316" spans="1:1" x14ac:dyDescent="0.25">
      <c r="A8316" s="7"/>
    </row>
    <row r="8317" spans="1:1" x14ac:dyDescent="0.25">
      <c r="A8317" s="7"/>
    </row>
    <row r="8318" spans="1:1" x14ac:dyDescent="0.25">
      <c r="A8318" s="7"/>
    </row>
    <row r="8319" spans="1:1" x14ac:dyDescent="0.25">
      <c r="A8319" s="7"/>
    </row>
    <row r="8320" spans="1:1" x14ac:dyDescent="0.25">
      <c r="A8320" s="7"/>
    </row>
    <row r="8321" spans="1:1" x14ac:dyDescent="0.25">
      <c r="A8321" s="7"/>
    </row>
    <row r="8322" spans="1:1" x14ac:dyDescent="0.25">
      <c r="A8322" s="7"/>
    </row>
    <row r="8323" spans="1:1" x14ac:dyDescent="0.25">
      <c r="A8323" s="7"/>
    </row>
    <row r="8324" spans="1:1" x14ac:dyDescent="0.25">
      <c r="A8324" s="7"/>
    </row>
    <row r="8325" spans="1:1" x14ac:dyDescent="0.25">
      <c r="A8325" s="7"/>
    </row>
    <row r="8326" spans="1:1" x14ac:dyDescent="0.25">
      <c r="A8326" s="7"/>
    </row>
    <row r="8327" spans="1:1" x14ac:dyDescent="0.25">
      <c r="A8327" s="7"/>
    </row>
    <row r="8328" spans="1:1" x14ac:dyDescent="0.25">
      <c r="A8328" s="7"/>
    </row>
    <row r="8329" spans="1:1" x14ac:dyDescent="0.25">
      <c r="A8329" s="7"/>
    </row>
    <row r="8330" spans="1:1" x14ac:dyDescent="0.25">
      <c r="A8330" s="7"/>
    </row>
    <row r="8331" spans="1:1" x14ac:dyDescent="0.25">
      <c r="A8331" s="7"/>
    </row>
    <row r="8332" spans="1:1" x14ac:dyDescent="0.25">
      <c r="A8332" s="7"/>
    </row>
    <row r="8333" spans="1:1" x14ac:dyDescent="0.25">
      <c r="A8333" s="7"/>
    </row>
    <row r="8334" spans="1:1" x14ac:dyDescent="0.25">
      <c r="A8334" s="7"/>
    </row>
    <row r="8335" spans="1:1" x14ac:dyDescent="0.25">
      <c r="A8335" s="7"/>
    </row>
    <row r="8336" spans="1:1" x14ac:dyDescent="0.25">
      <c r="A8336" s="7"/>
    </row>
    <row r="8337" spans="1:1" x14ac:dyDescent="0.25">
      <c r="A8337" s="7"/>
    </row>
    <row r="8338" spans="1:1" x14ac:dyDescent="0.25">
      <c r="A8338" s="7"/>
    </row>
    <row r="8339" spans="1:1" x14ac:dyDescent="0.25">
      <c r="A8339" s="7"/>
    </row>
    <row r="8340" spans="1:1" x14ac:dyDescent="0.25">
      <c r="A8340" s="7"/>
    </row>
    <row r="8341" spans="1:1" x14ac:dyDescent="0.25">
      <c r="A8341" s="7"/>
    </row>
    <row r="8342" spans="1:1" x14ac:dyDescent="0.25">
      <c r="A8342" s="7"/>
    </row>
    <row r="8343" spans="1:1" x14ac:dyDescent="0.25">
      <c r="A8343" s="7"/>
    </row>
    <row r="8344" spans="1:1" x14ac:dyDescent="0.25">
      <c r="A8344" s="7"/>
    </row>
    <row r="8345" spans="1:1" x14ac:dyDescent="0.25">
      <c r="A8345" s="7"/>
    </row>
    <row r="8346" spans="1:1" x14ac:dyDescent="0.25">
      <c r="A8346" s="7"/>
    </row>
    <row r="8347" spans="1:1" x14ac:dyDescent="0.25">
      <c r="A8347" s="7"/>
    </row>
    <row r="8348" spans="1:1" x14ac:dyDescent="0.25">
      <c r="A8348" s="7"/>
    </row>
    <row r="8349" spans="1:1" x14ac:dyDescent="0.25">
      <c r="A8349" s="7"/>
    </row>
    <row r="8350" spans="1:1" x14ac:dyDescent="0.25">
      <c r="A8350" s="7"/>
    </row>
    <row r="8351" spans="1:1" x14ac:dyDescent="0.25">
      <c r="A8351" s="7"/>
    </row>
  </sheetData>
  <conditionalFormatting sqref="A1:XFD1048576">
    <cfRule type="cellIs" dxfId="0" priority="1" operator="equal">
      <formula>"#N/A N/A"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33273-E763-4E7A-BBFD-6B2BA70245DE}">
  <dimension ref="A1:E40"/>
  <sheetViews>
    <sheetView zoomScaleNormal="100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40" sqref="A40"/>
    </sheetView>
  </sheetViews>
  <sheetFormatPr defaultRowHeight="15" x14ac:dyDescent="0.25"/>
  <cols>
    <col min="1" max="2" width="20.28515625" customWidth="1"/>
    <col min="3" max="4" width="50" customWidth="1"/>
    <col min="5" max="5" width="12" customWidth="1"/>
    <col min="6" max="6" width="37.42578125" bestFit="1" customWidth="1"/>
  </cols>
  <sheetData>
    <row r="1" spans="1:5" x14ac:dyDescent="0.25">
      <c r="A1" s="5" t="s">
        <v>70</v>
      </c>
      <c r="B1" s="5" t="s">
        <v>69</v>
      </c>
      <c r="C1" s="5"/>
      <c r="D1" s="5" t="s">
        <v>67</v>
      </c>
      <c r="E1" s="5" t="s">
        <v>68</v>
      </c>
    </row>
    <row r="2" spans="1:5" x14ac:dyDescent="0.25">
      <c r="A2" s="6">
        <v>0</v>
      </c>
      <c r="B2" s="6"/>
      <c r="C2" t="e" cm="1" vm="1">
        <f t="array" aca="1" ref="C2" ca="1">TRANSPOSE(_xlfn._TRO_TRAILING(Mensal_BBG!3:3))</f>
        <v>#NAME?</v>
      </c>
      <c r="D2" t="e" cm="1" vm="1">
        <f t="array" aca="1" ref="D2" ca="1">TRANSPOSE(_xlfn._TRO_TRAILING(Mensal_BBG!4:4))</f>
        <v>#NAME?</v>
      </c>
      <c r="E2" t="s">
        <v>67</v>
      </c>
    </row>
    <row r="3" spans="1:5" x14ac:dyDescent="0.25">
      <c r="A3" s="6" cm="1">
        <f t="array" ref="A3">_xlfn.XLOOKUP(B3,_xlfn.UNIQUE($B$2:$B$39),_xlfn.SEQUENCE(ROWS(_xlfn.UNIQUE($B$2:$B$39)),1,1))</f>
        <v>2</v>
      </c>
      <c r="B3" s="6" t="s">
        <v>77</v>
      </c>
      <c r="E3" t="s">
        <v>67</v>
      </c>
    </row>
    <row r="4" spans="1:5" x14ac:dyDescent="0.25">
      <c r="A4" s="6" cm="1">
        <f t="array" ref="A4">_xlfn.XLOOKUP(B4,_xlfn.UNIQUE($B$2:$B$39),_xlfn.SEQUENCE(ROWS(_xlfn.UNIQUE($B$2:$B$39)),1,1))</f>
        <v>2</v>
      </c>
      <c r="B4" s="6" t="s">
        <v>77</v>
      </c>
      <c r="E4" t="s">
        <v>67</v>
      </c>
    </row>
    <row r="5" spans="1:5" x14ac:dyDescent="0.25">
      <c r="A5" s="6" cm="1">
        <f t="array" ref="A5">_xlfn.XLOOKUP(B5,_xlfn.UNIQUE($B$2:$B$39),_xlfn.SEQUENCE(ROWS(_xlfn.UNIQUE($B$2:$B$39)),1,1))</f>
        <v>2</v>
      </c>
      <c r="B5" s="6" t="s">
        <v>77</v>
      </c>
      <c r="E5" t="s">
        <v>67</v>
      </c>
    </row>
    <row r="6" spans="1:5" x14ac:dyDescent="0.25">
      <c r="A6" s="6" cm="1">
        <f t="array" ref="A6">_xlfn.XLOOKUP(B6,_xlfn.UNIQUE($B$2:$B$39),_xlfn.SEQUENCE(ROWS(_xlfn.UNIQUE($B$2:$B$39)),1,1))</f>
        <v>2</v>
      </c>
      <c r="B6" s="6" t="s">
        <v>77</v>
      </c>
      <c r="E6" t="s">
        <v>67</v>
      </c>
    </row>
    <row r="7" spans="1:5" x14ac:dyDescent="0.25">
      <c r="A7" s="6" cm="1">
        <f t="array" ref="A7">_xlfn.XLOOKUP(B7,_xlfn.UNIQUE($B$2:$B$39),_xlfn.SEQUENCE(ROWS(_xlfn.UNIQUE($B$2:$B$39)),1,1))</f>
        <v>2</v>
      </c>
      <c r="B7" s="6" t="s">
        <v>77</v>
      </c>
      <c r="E7" t="s">
        <v>67</v>
      </c>
    </row>
    <row r="8" spans="1:5" x14ac:dyDescent="0.25">
      <c r="A8" s="6" cm="1">
        <f t="array" ref="A8">_xlfn.XLOOKUP(B8,_xlfn.UNIQUE($B$2:$B$39),_xlfn.SEQUENCE(ROWS(_xlfn.UNIQUE($B$2:$B$39)),1,1))</f>
        <v>2</v>
      </c>
      <c r="B8" s="6" t="s">
        <v>77</v>
      </c>
      <c r="E8" t="s">
        <v>67</v>
      </c>
    </row>
    <row r="9" spans="1:5" x14ac:dyDescent="0.25">
      <c r="A9" s="6" cm="1">
        <f t="array" ref="A9">_xlfn.XLOOKUP(B9,_xlfn.UNIQUE($B$2:$B$39),_xlfn.SEQUENCE(ROWS(_xlfn.UNIQUE($B$2:$B$39)),1,1))</f>
        <v>2</v>
      </c>
      <c r="B9" s="6" t="s">
        <v>77</v>
      </c>
      <c r="E9" t="s">
        <v>67</v>
      </c>
    </row>
    <row r="10" spans="1:5" x14ac:dyDescent="0.25">
      <c r="A10" s="6" cm="1">
        <f t="array" ref="A10">_xlfn.XLOOKUP(B10,_xlfn.UNIQUE($B$2:$B$39),_xlfn.SEQUENCE(ROWS(_xlfn.UNIQUE($B$2:$B$39)),1,1))</f>
        <v>2</v>
      </c>
      <c r="B10" s="6" t="s">
        <v>77</v>
      </c>
      <c r="E10" t="s">
        <v>67</v>
      </c>
    </row>
    <row r="11" spans="1:5" x14ac:dyDescent="0.25">
      <c r="A11" s="6" cm="1">
        <f t="array" ref="A11">_xlfn.XLOOKUP(B11,_xlfn.UNIQUE($B$2:$B$39),_xlfn.SEQUENCE(ROWS(_xlfn.UNIQUE($B$2:$B$39)),1,1))</f>
        <v>2</v>
      </c>
      <c r="B11" s="6" t="s">
        <v>77</v>
      </c>
      <c r="E11" t="s">
        <v>67</v>
      </c>
    </row>
    <row r="12" spans="1:5" x14ac:dyDescent="0.25">
      <c r="A12" s="6" cm="1">
        <f t="array" ref="A12">_xlfn.XLOOKUP(B12,_xlfn.UNIQUE($B$2:$B$39),_xlfn.SEQUENCE(ROWS(_xlfn.UNIQUE($B$2:$B$39)),1,1))</f>
        <v>2</v>
      </c>
      <c r="B12" s="6" t="s">
        <v>77</v>
      </c>
      <c r="E12" t="s">
        <v>67</v>
      </c>
    </row>
    <row r="13" spans="1:5" x14ac:dyDescent="0.25">
      <c r="A13" s="6" cm="1">
        <f t="array" ref="A13">_xlfn.XLOOKUP(B13,_xlfn.UNIQUE($B$2:$B$40),_xlfn.SEQUENCE(ROWS(_xlfn.UNIQUE($B$2:$B$40)),1,1))</f>
        <v>2</v>
      </c>
      <c r="B13" s="6" t="s">
        <v>77</v>
      </c>
      <c r="E13" t="s">
        <v>67</v>
      </c>
    </row>
    <row r="14" spans="1:5" x14ac:dyDescent="0.25">
      <c r="A14" s="6" cm="1">
        <f t="array" ref="A14">_xlfn.XLOOKUP(B14,_xlfn.UNIQUE($B$2:$B$40),_xlfn.SEQUENCE(ROWS(_xlfn.UNIQUE($B$2:$B$40)),1,1))</f>
        <v>2</v>
      </c>
      <c r="B14" s="6" t="s">
        <v>77</v>
      </c>
      <c r="E14" t="s">
        <v>67</v>
      </c>
    </row>
    <row r="15" spans="1:5" x14ac:dyDescent="0.25">
      <c r="A15" s="6" cm="1">
        <f t="array" ref="A15">_xlfn.XLOOKUP(B15,_xlfn.UNIQUE($B$2:$B$40),_xlfn.SEQUENCE(ROWS(_xlfn.UNIQUE($B$2:$B$40)),1,1))</f>
        <v>3</v>
      </c>
      <c r="B15" s="6" t="s">
        <v>76</v>
      </c>
      <c r="E15" t="s">
        <v>67</v>
      </c>
    </row>
    <row r="16" spans="1:5" x14ac:dyDescent="0.25">
      <c r="A16" s="6" cm="1">
        <f t="array" ref="A16">_xlfn.XLOOKUP(B16,_xlfn.UNIQUE($B$2:$B$40),_xlfn.SEQUENCE(ROWS(_xlfn.UNIQUE($B$2:$B$40)),1,1))</f>
        <v>3</v>
      </c>
      <c r="B16" s="6" t="s">
        <v>76</v>
      </c>
      <c r="E16" t="s">
        <v>67</v>
      </c>
    </row>
    <row r="17" spans="1:5" x14ac:dyDescent="0.25">
      <c r="A17" s="6" cm="1">
        <f t="array" ref="A17">_xlfn.XLOOKUP(B17,_xlfn.UNIQUE($B$2:$B$40),_xlfn.SEQUENCE(ROWS(_xlfn.UNIQUE($B$2:$B$40)),1,1))</f>
        <v>4</v>
      </c>
      <c r="B17" s="6" t="s">
        <v>75</v>
      </c>
      <c r="E17" t="s">
        <v>67</v>
      </c>
    </row>
    <row r="18" spans="1:5" x14ac:dyDescent="0.25">
      <c r="A18" s="6" cm="1">
        <f t="array" ref="A18">_xlfn.XLOOKUP(B18,_xlfn.UNIQUE($B$2:$B$40),_xlfn.SEQUENCE(ROWS(_xlfn.UNIQUE($B$2:$B$40)),1,1))</f>
        <v>4</v>
      </c>
      <c r="B18" s="6" t="s">
        <v>75</v>
      </c>
      <c r="E18" t="s">
        <v>67</v>
      </c>
    </row>
    <row r="19" spans="1:5" x14ac:dyDescent="0.25">
      <c r="A19" s="6" cm="1">
        <f t="array" ref="A19">_xlfn.XLOOKUP(B19,_xlfn.UNIQUE($B$2:$B$40),_xlfn.SEQUENCE(ROWS(_xlfn.UNIQUE($B$2:$B$40)),1,1))</f>
        <v>4</v>
      </c>
      <c r="B19" s="6" t="s">
        <v>75</v>
      </c>
      <c r="E19" t="s">
        <v>67</v>
      </c>
    </row>
    <row r="20" spans="1:5" x14ac:dyDescent="0.25">
      <c r="A20" s="6" cm="1">
        <f t="array" ref="A20">_xlfn.XLOOKUP(B20,_xlfn.UNIQUE($B$2:$B$40),_xlfn.SEQUENCE(ROWS(_xlfn.UNIQUE($B$2:$B$40)),1,1))</f>
        <v>5</v>
      </c>
      <c r="B20" s="6" t="s">
        <v>74</v>
      </c>
      <c r="E20" t="s">
        <v>67</v>
      </c>
    </row>
    <row r="21" spans="1:5" x14ac:dyDescent="0.25">
      <c r="A21" s="6" cm="1">
        <f t="array" ref="A21">_xlfn.XLOOKUP(B21,_xlfn.UNIQUE($B$2:$B$40),_xlfn.SEQUENCE(ROWS(_xlfn.UNIQUE($B$2:$B$40)),1,1))</f>
        <v>5</v>
      </c>
      <c r="B21" s="6" t="s">
        <v>74</v>
      </c>
      <c r="E21" t="s">
        <v>67</v>
      </c>
    </row>
    <row r="22" spans="1:5" x14ac:dyDescent="0.25">
      <c r="A22" s="6" cm="1">
        <f t="array" ref="A22">_xlfn.XLOOKUP(B22,_xlfn.UNIQUE($B$2:$B$40),_xlfn.SEQUENCE(ROWS(_xlfn.UNIQUE($B$2:$B$40)),1,1))</f>
        <v>6</v>
      </c>
      <c r="B22" s="6" t="s">
        <v>73</v>
      </c>
      <c r="E22" t="s">
        <v>67</v>
      </c>
    </row>
    <row r="23" spans="1:5" x14ac:dyDescent="0.25">
      <c r="A23" s="6" cm="1">
        <f t="array" ref="A23">_xlfn.XLOOKUP(B23,_xlfn.UNIQUE($B$2:$B$40),_xlfn.SEQUENCE(ROWS(_xlfn.UNIQUE($B$2:$B$40)),1,1))</f>
        <v>6</v>
      </c>
      <c r="B23" s="6" t="s">
        <v>73</v>
      </c>
      <c r="E23" t="s">
        <v>67</v>
      </c>
    </row>
    <row r="24" spans="1:5" x14ac:dyDescent="0.25">
      <c r="A24" s="6" cm="1">
        <f t="array" ref="A24">_xlfn.XLOOKUP(B24,_xlfn.UNIQUE($B$2:$B$40),_xlfn.SEQUENCE(ROWS(_xlfn.UNIQUE($B$2:$B$40)),1,1))</f>
        <v>7</v>
      </c>
      <c r="B24" s="6" t="s">
        <v>72</v>
      </c>
      <c r="E24" t="s">
        <v>67</v>
      </c>
    </row>
    <row r="25" spans="1:5" x14ac:dyDescent="0.25">
      <c r="A25" s="6" cm="1">
        <f t="array" ref="A25">_xlfn.XLOOKUP(B25,_xlfn.UNIQUE($B$2:$B$40),_xlfn.SEQUENCE(ROWS(_xlfn.UNIQUE($B$2:$B$40)),1,1))</f>
        <v>7</v>
      </c>
      <c r="B25" s="6" t="s">
        <v>72</v>
      </c>
      <c r="E25" t="s">
        <v>67</v>
      </c>
    </row>
    <row r="26" spans="1:5" x14ac:dyDescent="0.25">
      <c r="A26" s="6" cm="1">
        <f t="array" ref="A26">_xlfn.XLOOKUP(B26,_xlfn.UNIQUE($B$2:$B$40),_xlfn.SEQUENCE(ROWS(_xlfn.UNIQUE($B$2:$B$40)),1,1))</f>
        <v>7</v>
      </c>
      <c r="B26" s="6" t="s">
        <v>72</v>
      </c>
      <c r="E26" t="s">
        <v>67</v>
      </c>
    </row>
    <row r="27" spans="1:5" x14ac:dyDescent="0.25">
      <c r="A27" s="6" cm="1">
        <f t="array" ref="A27">_xlfn.XLOOKUP(B27,_xlfn.UNIQUE($B$2:$B$40),_xlfn.SEQUENCE(ROWS(_xlfn.UNIQUE($B$2:$B$40)),1,1))</f>
        <v>8</v>
      </c>
      <c r="B27" s="6" t="s">
        <v>71</v>
      </c>
      <c r="E27" t="s">
        <v>67</v>
      </c>
    </row>
    <row r="28" spans="1:5" x14ac:dyDescent="0.25">
      <c r="A28" s="6" cm="1">
        <f t="array" ref="A28">_xlfn.XLOOKUP(B28,_xlfn.UNIQUE($B$2:$B$40),_xlfn.SEQUENCE(ROWS(_xlfn.UNIQUE($B$2:$B$40)),1,1))</f>
        <v>8</v>
      </c>
      <c r="B28" s="6" t="s">
        <v>71</v>
      </c>
      <c r="E28" t="s">
        <v>67</v>
      </c>
    </row>
    <row r="29" spans="1:5" x14ac:dyDescent="0.25">
      <c r="A29" s="6" cm="1">
        <f t="array" ref="A29">_xlfn.XLOOKUP(B29,_xlfn.UNIQUE($B$2:$B$40),_xlfn.SEQUENCE(ROWS(_xlfn.UNIQUE($B$2:$B$40)),1,1))</f>
        <v>9</v>
      </c>
      <c r="B29" s="6" t="s">
        <v>78</v>
      </c>
      <c r="E29" t="s">
        <v>67</v>
      </c>
    </row>
    <row r="30" spans="1:5" x14ac:dyDescent="0.25">
      <c r="A30" s="6" cm="1">
        <f t="array" ref="A30">_xlfn.XLOOKUP(B30,_xlfn.UNIQUE($B$2:$B$40),_xlfn.SEQUENCE(ROWS(_xlfn.UNIQUE($B$2:$B$40)),1,1))</f>
        <v>8</v>
      </c>
      <c r="B30" s="6" t="s">
        <v>71</v>
      </c>
      <c r="E30" t="s">
        <v>67</v>
      </c>
    </row>
    <row r="31" spans="1:5" x14ac:dyDescent="0.25">
      <c r="A31" s="6" cm="1">
        <f t="array" ref="A31">_xlfn.XLOOKUP(B31,_xlfn.UNIQUE($B$2:$B$40),_xlfn.SEQUENCE(ROWS(_xlfn.UNIQUE($B$2:$B$40)),1,1))</f>
        <v>8</v>
      </c>
      <c r="B31" s="6" t="s">
        <v>71</v>
      </c>
      <c r="E31" t="s">
        <v>67</v>
      </c>
    </row>
    <row r="32" spans="1:5" x14ac:dyDescent="0.25">
      <c r="A32" s="6" cm="1">
        <f t="array" ref="A32">_xlfn.XLOOKUP(B32,_xlfn.UNIQUE($B$2:$B$40),_xlfn.SEQUENCE(ROWS(_xlfn.UNIQUE($B$2:$B$40)),1,1))</f>
        <v>8</v>
      </c>
      <c r="B32" s="6" t="s">
        <v>71</v>
      </c>
      <c r="E32" t="s">
        <v>67</v>
      </c>
    </row>
    <row r="33" spans="1:5" x14ac:dyDescent="0.25">
      <c r="A33" s="6" cm="1">
        <f t="array" ref="A33">_xlfn.XLOOKUP(B33,_xlfn.UNIQUE($B$2:$B$40),_xlfn.SEQUENCE(ROWS(_xlfn.UNIQUE($B$2:$B$40)),1,1))</f>
        <v>1</v>
      </c>
      <c r="E33" t="s">
        <v>67</v>
      </c>
    </row>
    <row r="34" spans="1:5" x14ac:dyDescent="0.25">
      <c r="A34" s="6" cm="1">
        <f t="array" ref="A34">_xlfn.XLOOKUP(B34,_xlfn.UNIQUE($B$2:$B$40),_xlfn.SEQUENCE(ROWS(_xlfn.UNIQUE($B$2:$B$40)),1,1))</f>
        <v>4</v>
      </c>
      <c r="B34" s="6" t="s">
        <v>75</v>
      </c>
      <c r="E34" t="s">
        <v>67</v>
      </c>
    </row>
    <row r="35" spans="1:5" x14ac:dyDescent="0.25">
      <c r="A35" s="6" cm="1">
        <f t="array" ref="A35">_xlfn.XLOOKUP(B35,_xlfn.UNIQUE($B$2:$B$40),_xlfn.SEQUENCE(ROWS(_xlfn.UNIQUE($B$2:$B$40)),1,1))</f>
        <v>4</v>
      </c>
      <c r="B35" s="6" t="s">
        <v>75</v>
      </c>
      <c r="E35" t="s">
        <v>67</v>
      </c>
    </row>
    <row r="36" spans="1:5" x14ac:dyDescent="0.25">
      <c r="A36" s="6" cm="1">
        <f t="array" ref="A36">_xlfn.XLOOKUP(B36,_xlfn.UNIQUE($B$2:$B$40),_xlfn.SEQUENCE(ROWS(_xlfn.UNIQUE($B$2:$B$40)),1,1))</f>
        <v>4</v>
      </c>
      <c r="B36" s="6" t="s">
        <v>75</v>
      </c>
      <c r="E36" t="s">
        <v>67</v>
      </c>
    </row>
    <row r="37" spans="1:5" x14ac:dyDescent="0.25">
      <c r="A37" s="6" cm="1">
        <f t="array" ref="A37">_xlfn.XLOOKUP(B37,_xlfn.UNIQUE($B$2:$B$40),_xlfn.SEQUENCE(ROWS(_xlfn.UNIQUE($B$2:$B$40)),1,1))</f>
        <v>4</v>
      </c>
      <c r="B37" s="6" t="s">
        <v>75</v>
      </c>
      <c r="E37" t="s">
        <v>67</v>
      </c>
    </row>
    <row r="38" spans="1:5" x14ac:dyDescent="0.25">
      <c r="A38" s="6" cm="1">
        <f t="array" ref="A38">_xlfn.XLOOKUP(B38,_xlfn.UNIQUE($B$2:$B$40),_xlfn.SEQUENCE(ROWS(_xlfn.UNIQUE($B$2:$B$40)),1,1))</f>
        <v>4</v>
      </c>
      <c r="B38" s="6" t="s">
        <v>75</v>
      </c>
      <c r="E38" t="s">
        <v>67</v>
      </c>
    </row>
    <row r="39" spans="1:5" x14ac:dyDescent="0.25">
      <c r="A39" s="6" cm="1">
        <f t="array" ref="A39">_xlfn.XLOOKUP(B39,_xlfn.UNIQUE($B$2:$B$40),_xlfn.SEQUENCE(ROWS(_xlfn.UNIQUE($B$2:$B$40)),1,1))</f>
        <v>4</v>
      </c>
      <c r="B39" s="6" t="s">
        <v>75</v>
      </c>
      <c r="E39" t="s">
        <v>67</v>
      </c>
    </row>
    <row r="40" spans="1:5" x14ac:dyDescent="0.25">
      <c r="A40" s="6" cm="1">
        <f t="array" ref="A40">_xlfn.XLOOKUP(B40,_xlfn.UNIQUE($B$2:$B$40),_xlfn.SEQUENCE(ROWS(_xlfn.UNIQUE($B$2:$B$40)),1,1))</f>
        <v>9</v>
      </c>
      <c r="B40" s="6" t="s">
        <v>78</v>
      </c>
      <c r="E40" t="s">
        <v>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2718D5C22B814DA66EA3FE5FFD14DC" ma:contentTypeVersion="3" ma:contentTypeDescription="Crie um novo documento." ma:contentTypeScope="" ma:versionID="42eefc737b0e42670da428cda153182e">
  <xsd:schema xmlns:xsd="http://www.w3.org/2001/XMLSchema" xmlns:xs="http://www.w3.org/2001/XMLSchema" xmlns:p="http://schemas.microsoft.com/office/2006/metadata/properties" xmlns:ns2="d2abc76b-9c9e-4b97-8516-bc963645d007" targetNamespace="http://schemas.microsoft.com/office/2006/metadata/properties" ma:root="true" ma:fieldsID="1c755e1fad921ce3a691431323a05cdd" ns2:_="">
    <xsd:import namespace="d2abc76b-9c9e-4b97-8516-bc963645d0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abc76b-9c9e-4b97-8516-bc963645d0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DA24F5-C90A-4520-9489-6901A71098F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50E967C-AB20-488E-816D-BE1C4EE62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abc76b-9c9e-4b97-8516-bc963645d0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744333-1CB0-45CD-8765-6E636C066E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Mensal_BBG</vt:lpstr>
      <vt:lpstr>Dados</vt:lpstr>
    </vt:vector>
  </TitlesOfParts>
  <Manager/>
  <Company>FGV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Bruno</dc:creator>
  <cp:keywords/>
  <dc:description/>
  <cp:lastModifiedBy>Bruno</cp:lastModifiedBy>
  <cp:revision/>
  <dcterms:created xsi:type="dcterms:W3CDTF">2025-06-12T20:54:30Z</dcterms:created>
  <dcterms:modified xsi:type="dcterms:W3CDTF">2026-05-15T19:56:40Z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ContentTypeId">
    <vt:lpwstr>0x010100252718D5C22B814DA66EA3FE5FFD14DC</vt:lpwstr>
  </property>
</Properties>
</file>