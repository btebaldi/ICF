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ocuments\GitHub\ICF\Database\"/>
    </mc:Choice>
  </mc:AlternateContent>
  <xr:revisionPtr revIDLastSave="0" documentId="13_ncr:1_{D2C71448-B537-4DAF-9505-7BCFF002C720}" xr6:coauthVersionLast="47" xr6:coauthVersionMax="47" xr10:uidLastSave="{00000000-0000-0000-0000-000000000000}"/>
  <bookViews>
    <workbookView xWindow="4995" yWindow="-11640" windowWidth="20730" windowHeight="11040" activeTab="1" xr2:uid="{D4C5CD99-ED57-4B76-84B6-86F53E6B3EEC}"/>
  </bookViews>
  <sheets>
    <sheet name="Mensal_BBG" sheetId="1" r:id="rId1"/>
    <sheet name="Dados" sheetId="3" r:id="rId2"/>
  </sheets>
  <definedNames>
    <definedName name="SpreadsheetBuilder_1" hidden="1">Mensal_BBG!$A$1:$E$6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2" i="3"/>
  <c r="A43" i="3" a="1"/>
  <c r="A43" i="3" s="1"/>
  <c r="A44" i="3" a="1"/>
  <c r="A44" i="3" s="1"/>
  <c r="A41" i="3" a="1"/>
  <c r="A41" i="3" s="1"/>
  <c r="A42" i="3" a="1"/>
  <c r="A42" i="3" s="1"/>
  <c r="C2" i="3" l="1" a="1"/>
  <c r="C2" i="3" s="1"/>
  <c r="E2" i="3" a="1"/>
  <c r="E2" i="3" s="1"/>
  <c r="A3" i="3" a="1"/>
  <c r="A3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3" i="3" a="1"/>
  <c r="A23" i="3" s="1"/>
  <c r="A24" i="3" a="1"/>
  <c r="A24" i="3" s="1"/>
  <c r="A25" i="3" a="1"/>
  <c r="A25" i="3" s="1"/>
  <c r="A26" i="3" a="1"/>
  <c r="A26" i="3" s="1"/>
  <c r="A27" i="3" a="1"/>
  <c r="A27" i="3" s="1"/>
  <c r="A28" i="3" a="1"/>
  <c r="A28" i="3" s="1"/>
  <c r="A29" i="3" a="1"/>
  <c r="A29" i="3" s="1"/>
  <c r="A30" i="3" a="1"/>
  <c r="A30" i="3" s="1"/>
  <c r="A31" i="3" a="1"/>
  <c r="A31" i="3" s="1"/>
  <c r="A32" i="3" a="1"/>
  <c r="A32" i="3" s="1"/>
  <c r="A33" i="3" a="1"/>
  <c r="A33" i="3" s="1"/>
  <c r="A34" i="3" a="1"/>
  <c r="A34" i="3" s="1"/>
  <c r="A35" i="3" a="1"/>
  <c r="A35" i="3" s="1"/>
  <c r="A36" i="3" a="1"/>
  <c r="A36" i="3" s="1"/>
  <c r="A37" i="3" a="1"/>
  <c r="A37" i="3" s="1"/>
  <c r="A38" i="3" a="1"/>
  <c r="A38" i="3" s="1"/>
  <c r="A39" i="3" a="1"/>
  <c r="A39" i="3" s="1"/>
  <c r="A40" i="3" a="1"/>
  <c r="A40" i="3" s="1"/>
  <c r="A13" i="3" a="1"/>
  <c r="A13" i="3" s="1"/>
  <c r="A12" i="3" a="1"/>
  <c r="A12" i="3" s="1"/>
  <c r="A11" i="3" a="1"/>
  <c r="A11" i="3" s="1"/>
  <c r="A10" i="3" a="1"/>
  <c r="A10" i="3" s="1"/>
  <c r="A9" i="3" a="1"/>
  <c r="A9" i="3" s="1"/>
  <c r="A8" i="3" a="1"/>
  <c r="A8" i="3" s="1"/>
  <c r="A7" i="3" a="1"/>
  <c r="A7" i="3" s="1"/>
  <c r="A6" i="3" a="1"/>
  <c r="A6" i="3" s="1"/>
  <c r="A5" i="3" a="1"/>
  <c r="A5" i="3" s="1"/>
  <c r="A4" i="3" a="1"/>
  <c r="A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<sst xmlns="http://schemas.openxmlformats.org/spreadsheetml/2006/main" count="661" uniqueCount="106">
  <si>
    <t>Data inicial</t>
  </si>
  <si>
    <t>Data final</t>
  </si>
  <si>
    <t>EURUSD Taxa de câmbio spot - Preço de 1 EUR em USD</t>
  </si>
  <si>
    <t>USDJPY Taxa de câmbio spot - Preço de 1 USD em JPY</t>
  </si>
  <si>
    <t>GBPUSD Taxa de câmbio spot - Preço de 1 GBP em USD</t>
  </si>
  <si>
    <t>USDCAD Taxa de câmbio spot - Preço de 1 USD em CAD</t>
  </si>
  <si>
    <t>USDSEK Taxa de câmbio spot - Preço de 1 USD em SEK</t>
  </si>
  <si>
    <t>USDCHF Taxa de câmbio spot - Preço de 1 USD em CHF</t>
  </si>
  <si>
    <t>USGG3M Index</t>
  </si>
  <si>
    <t>GTGBP3MO Corp</t>
  </si>
  <si>
    <t>GTDEM3M Govt</t>
  </si>
  <si>
    <t>GTJPY3MO Corp</t>
  </si>
  <si>
    <t>USGG2YR Index</t>
  </si>
  <si>
    <t>GTGBP2YR Corp</t>
  </si>
  <si>
    <t>GTDEM2Y Govt</t>
  </si>
  <si>
    <t>GTJPY2YR Corp</t>
  </si>
  <si>
    <t>USGG10YR Index</t>
  </si>
  <si>
    <t>GTGBP10YR Corp</t>
  </si>
  <si>
    <t>GTDEM10YR Corp</t>
  </si>
  <si>
    <t>GTJPY10YR Corp</t>
  </si>
  <si>
    <t>VIX Index</t>
  </si>
  <si>
    <t>BRAZIL CDS USD SR 5Y D14 Corp</t>
  </si>
  <si>
    <t>DXY Curncy</t>
  </si>
  <si>
    <t>USTWEME Index</t>
  </si>
  <si>
    <t>BRL REGN Curncy</t>
  </si>
  <si>
    <t>CL1 COMB Comdty</t>
  </si>
  <si>
    <t>CO1 Comdty</t>
  </si>
  <si>
    <t>CRB FOOD Index</t>
  </si>
  <si>
    <t>CRB METL Index</t>
  </si>
  <si>
    <t>MXWO Index</t>
  </si>
  <si>
    <t>MXEF Index</t>
  </si>
  <si>
    <t>IBOV Index</t>
  </si>
  <si>
    <t>BCSFTPDV CMPN Curncy</t>
  </si>
  <si>
    <t>BZEASA Index</t>
  </si>
  <si>
    <t>BCSFLPDV BLP Curncy</t>
  </si>
  <si>
    <t>EUR BGN Curncy</t>
  </si>
  <si>
    <t>JPY BGN Curncy</t>
  </si>
  <si>
    <t>GBP BGN Curncy</t>
  </si>
  <si>
    <t>CAD BGN Curncy</t>
  </si>
  <si>
    <t>SEK BGN Curncy</t>
  </si>
  <si>
    <t>CHF BGN Curncy</t>
  </si>
  <si>
    <t>Dates</t>
  </si>
  <si>
    <t>PX_LAST</t>
  </si>
  <si>
    <t>Taxa de juros EUA 3 meses</t>
  </si>
  <si>
    <t>Taxa de juros Reino Unido 3 meses</t>
  </si>
  <si>
    <t>Taxa de juros Alemanha 3 meses</t>
  </si>
  <si>
    <t>Taxa de juros Japao 3 meses</t>
  </si>
  <si>
    <t>Taxa de juros EUA 2 anos</t>
  </si>
  <si>
    <t>Taxa de juros Reino Unido 2 anos</t>
  </si>
  <si>
    <t>Taxa de juros Alemanha 2 anos</t>
  </si>
  <si>
    <t>Taxa de juros Japao 2 anos</t>
  </si>
  <si>
    <t>Taxa de juros EUA 10 anos</t>
  </si>
  <si>
    <t>Taxa de juros Reino Unido 10 anos</t>
  </si>
  <si>
    <t>Taxa de juros Alemanha 10 anos</t>
  </si>
  <si>
    <t>Taxa de juros Japao 10 anos</t>
  </si>
  <si>
    <t>VIX</t>
  </si>
  <si>
    <t>CDS 5 anos</t>
  </si>
  <si>
    <t>US Dollar index (DXY) (desenvolvido)</t>
  </si>
  <si>
    <t>US Dollar index (DXY) (Emergentes)</t>
  </si>
  <si>
    <t>cambio BRL/USD</t>
  </si>
  <si>
    <t>WTI</t>
  </si>
  <si>
    <t>Brent</t>
  </si>
  <si>
    <t>Iindice de commodities CRB (foodstuffs)</t>
  </si>
  <si>
    <t>Iindice de commodities CRB (metals)</t>
  </si>
  <si>
    <t>Indices de Acoes MSCI Desenvolvidos</t>
  </si>
  <si>
    <t>Indices de Acoes MSCI Emergentes</t>
  </si>
  <si>
    <t>Ibovespa</t>
  </si>
  <si>
    <t>Bloomberg</t>
  </si>
  <si>
    <t>Fonte</t>
  </si>
  <si>
    <t>Grupo_Desc</t>
  </si>
  <si>
    <t>Grupo_Id</t>
  </si>
  <si>
    <t>Juros Brazil</t>
  </si>
  <si>
    <t>Mercado de capitais</t>
  </si>
  <si>
    <t>Commoditires</t>
  </si>
  <si>
    <t>Petroleo</t>
  </si>
  <si>
    <t>Moedas</t>
  </si>
  <si>
    <t>Risco</t>
  </si>
  <si>
    <t>Juros exterior</t>
  </si>
  <si>
    <t>Produto</t>
  </si>
  <si>
    <t>Date</t>
  </si>
  <si>
    <t>Period (M=Month/D=Daily)</t>
  </si>
  <si>
    <t>M</t>
  </si>
  <si>
    <t>BZIPCAPI Index</t>
  </si>
  <si>
    <t>Producao Industrial Bens de Capital (NSA 2002=100)</t>
  </si>
  <si>
    <t>BZDIOVRA Index</t>
  </si>
  <si>
    <t>BRL Cetip DI Deposit Rate</t>
  </si>
  <si>
    <t>BRL SWAP PRE-DI (252d)</t>
  </si>
  <si>
    <t>BCSFPPDV BLP Curncy</t>
  </si>
  <si>
    <t>BCSFQPDV BLP Curncy</t>
  </si>
  <si>
    <t>BRL SWAP PRE-DI (504d)</t>
  </si>
  <si>
    <t>BRL SWAP PRE-DI (756d)</t>
  </si>
  <si>
    <t>BCSFSPDV BLP Curncy</t>
  </si>
  <si>
    <t>BRL SWAP PRE-DI (1260d)</t>
  </si>
  <si>
    <t>BRL SWAP PRE-DI (1512d)</t>
  </si>
  <si>
    <t>BCSFXPDV BLP Curncy</t>
  </si>
  <si>
    <t>BRL SWAP PRE-DI (2520d)</t>
  </si>
  <si>
    <t>BZIPTLYO Index</t>
  </si>
  <si>
    <t>Producao Industrial Bens de Capital (NSA 2012=100)</t>
  </si>
  <si>
    <t>Producao Industrial Bens de Capital (SA 2012=100)</t>
  </si>
  <si>
    <t>BZIPTLSA Index</t>
  </si>
  <si>
    <t>BZEANSA Index</t>
  </si>
  <si>
    <t>IBCBR (NSA)</t>
  </si>
  <si>
    <t>IBCBR (SA)</t>
  </si>
  <si>
    <t>#N/A N/A</t>
  </si>
  <si>
    <t>Descricao</t>
  </si>
  <si>
    <t>ColCode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</si>
</sst>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textRotation="45"/>
    </xf>
    <xf numFmtId="0" fontId="0" fillId="0" borderId="0" xfId="0" applyAlignment="1">
      <alignment textRotation="45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1220-26A9-4625-8A7A-5EE3C8BA76EC}">
  <dimension ref="A1:AQ8351"/>
  <sheetViews>
    <sheetView workbookViewId="0">
      <selection activeCell="A4" sqref="A4"/>
    </sheetView>
  </sheetViews>
  <sheetFormatPr defaultRowHeight="15" x14ac:dyDescent="0.25"/>
  <cols>
    <col min="1" max="1" width="15" bestFit="1" customWidth="1"/>
    <col min="2" max="2" width="22.5703125" bestFit="1" customWidth="1"/>
    <col min="3" max="3" width="25" bestFit="1" customWidth="1"/>
    <col min="4" max="4" width="23.7109375" bestFit="1" customWidth="1"/>
    <col min="5" max="5" width="22.5703125" bestFit="1" customWidth="1"/>
    <col min="6" max="6" width="18.5703125" bestFit="1" customWidth="1"/>
    <col min="7" max="7" width="23.85546875" bestFit="1" customWidth="1"/>
    <col min="8" max="8" width="22.5703125" bestFit="1" customWidth="1"/>
    <col min="9" max="9" width="19.5703125" bestFit="1" customWidth="1"/>
    <col min="10" max="10" width="19.28515625" bestFit="1" customWidth="1"/>
    <col min="11" max="11" width="24.5703125" bestFit="1" customWidth="1"/>
    <col min="12" max="12" width="23.28515625" bestFit="1" customWidth="1"/>
    <col min="13" max="13" width="20.28515625" bestFit="1" customWidth="1"/>
    <col min="14" max="14" width="9" bestFit="1" customWidth="1"/>
    <col min="15" max="15" width="22.5703125" bestFit="1" customWidth="1"/>
    <col min="16" max="16" width="26.5703125" bestFit="1" customWidth="1"/>
    <col min="17" max="17" width="25.5703125" bestFit="1" customWidth="1"/>
    <col min="18" max="18" width="13.7109375" bestFit="1" customWidth="1"/>
    <col min="19" max="19" width="14.5703125" bestFit="1" customWidth="1"/>
    <col min="20" max="20" width="10.7109375" bestFit="1" customWidth="1"/>
    <col min="21" max="21" width="28.7109375" bestFit="1" customWidth="1"/>
    <col min="22" max="22" width="26.5703125" bestFit="1" customWidth="1"/>
    <col min="23" max="23" width="26.85546875" bestFit="1" customWidth="1"/>
    <col min="24" max="24" width="25" bestFit="1" customWidth="1"/>
    <col min="25" max="25" width="10" bestFit="1" customWidth="1"/>
    <col min="26" max="26" width="18.42578125" bestFit="1" customWidth="1"/>
    <col min="27" max="27" width="19" bestFit="1" customWidth="1"/>
    <col min="28" max="28" width="19" customWidth="1"/>
    <col min="29" max="29" width="17.28515625" customWidth="1"/>
    <col min="30" max="31" width="18.28515625" bestFit="1" customWidth="1"/>
    <col min="32" max="32" width="19" bestFit="1" customWidth="1"/>
    <col min="33" max="38" width="23.42578125" customWidth="1"/>
    <col min="39" max="39" width="21.7109375" bestFit="1" customWidth="1"/>
    <col min="40" max="41" width="21.7109375" customWidth="1"/>
    <col min="42" max="42" width="11.5703125" bestFit="1" customWidth="1"/>
    <col min="43" max="43" width="12.5703125" bestFit="1" customWidth="1"/>
  </cols>
  <sheetData>
    <row r="1" spans="1:43" x14ac:dyDescent="0.25">
      <c r="A1" t="s">
        <v>0</v>
      </c>
      <c r="B1" s="1">
        <v>37753</v>
      </c>
      <c r="D1" t="s">
        <v>80</v>
      </c>
      <c r="E1" t="s">
        <v>81</v>
      </c>
      <c r="AF1" s="3"/>
    </row>
    <row r="2" spans="1:43" x14ac:dyDescent="0.25">
      <c r="A2" t="s">
        <v>1</v>
      </c>
    </row>
    <row r="3" spans="1:43" ht="114" customHeight="1" x14ac:dyDescent="0.25">
      <c r="A3" s="4" t="s">
        <v>79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58</v>
      </c>
      <c r="R3" s="4" t="s">
        <v>59</v>
      </c>
      <c r="S3" s="4" t="s">
        <v>60</v>
      </c>
      <c r="T3" s="4" t="s">
        <v>61</v>
      </c>
      <c r="U3" s="4" t="s">
        <v>62</v>
      </c>
      <c r="V3" s="4" t="s">
        <v>63</v>
      </c>
      <c r="W3" s="4" t="s">
        <v>64</v>
      </c>
      <c r="X3" s="4" t="s">
        <v>65</v>
      </c>
      <c r="Y3" s="4" t="s">
        <v>66</v>
      </c>
      <c r="Z3" s="4" t="s">
        <v>93</v>
      </c>
      <c r="AA3" s="4" t="s">
        <v>92</v>
      </c>
      <c r="AB3" s="4" t="s">
        <v>95</v>
      </c>
      <c r="AC3" s="4" t="s">
        <v>90</v>
      </c>
      <c r="AD3" s="4" t="s">
        <v>89</v>
      </c>
      <c r="AE3" s="4" t="s">
        <v>86</v>
      </c>
      <c r="AF3" s="4" t="s">
        <v>85</v>
      </c>
      <c r="AG3" s="4" t="s">
        <v>2</v>
      </c>
      <c r="AH3" s="4" t="s">
        <v>3</v>
      </c>
      <c r="AI3" s="4" t="s">
        <v>4</v>
      </c>
      <c r="AJ3" s="4" t="s">
        <v>5</v>
      </c>
      <c r="AK3" s="4" t="s">
        <v>6</v>
      </c>
      <c r="AL3" s="4" t="s">
        <v>7</v>
      </c>
      <c r="AM3" s="4" t="s">
        <v>83</v>
      </c>
      <c r="AN3" s="4" t="s">
        <v>97</v>
      </c>
      <c r="AO3" s="4" t="s">
        <v>98</v>
      </c>
      <c r="AP3" s="4" t="s">
        <v>102</v>
      </c>
      <c r="AQ3" s="4" t="s">
        <v>101</v>
      </c>
    </row>
    <row r="4" spans="1:43" ht="113.25" x14ac:dyDescent="0.25">
      <c r="A4" s="3" t="s">
        <v>79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 t="s">
        <v>27</v>
      </c>
      <c r="V4" s="3" t="s">
        <v>28</v>
      </c>
      <c r="W4" s="3" t="s">
        <v>29</v>
      </c>
      <c r="X4" s="3" t="s">
        <v>30</v>
      </c>
      <c r="Y4" s="3" t="s">
        <v>31</v>
      </c>
      <c r="Z4" s="3" t="s">
        <v>32</v>
      </c>
      <c r="AA4" s="3" t="s">
        <v>91</v>
      </c>
      <c r="AB4" s="3" t="s">
        <v>94</v>
      </c>
      <c r="AC4" s="3" t="s">
        <v>88</v>
      </c>
      <c r="AD4" s="3" t="s">
        <v>87</v>
      </c>
      <c r="AE4" s="3" t="s">
        <v>34</v>
      </c>
      <c r="AF4" s="3" t="s">
        <v>84</v>
      </c>
      <c r="AG4" s="3" t="s">
        <v>35</v>
      </c>
      <c r="AH4" s="3" t="s">
        <v>36</v>
      </c>
      <c r="AI4" s="3" t="s">
        <v>37</v>
      </c>
      <c r="AJ4" s="3" t="s">
        <v>38</v>
      </c>
      <c r="AK4" s="3" t="s">
        <v>39</v>
      </c>
      <c r="AL4" s="3" t="s">
        <v>40</v>
      </c>
      <c r="AM4" s="3" t="s">
        <v>82</v>
      </c>
      <c r="AN4" s="3" t="s">
        <v>96</v>
      </c>
      <c r="AO4" s="3" t="s">
        <v>99</v>
      </c>
      <c r="AP4" s="3" t="s">
        <v>33</v>
      </c>
      <c r="AQ4" s="3" t="s">
        <v>100</v>
      </c>
    </row>
    <row r="5" spans="1:43" x14ac:dyDescent="0.25">
      <c r="A5" t="s">
        <v>41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42</v>
      </c>
      <c r="AJ5" t="s">
        <v>42</v>
      </c>
      <c r="AK5" t="s">
        <v>42</v>
      </c>
      <c r="AL5" t="s">
        <v>42</v>
      </c>
      <c r="AM5" t="s">
        <v>42</v>
      </c>
      <c r="AN5" t="s">
        <v>42</v>
      </c>
      <c r="AO5" t="s">
        <v>42</v>
      </c>
      <c r="AP5" t="s">
        <v>42</v>
      </c>
      <c r="AQ5" t="s">
        <v>42</v>
      </c>
    </row>
    <row r="6" spans="1:43" x14ac:dyDescent="0.25">
      <c r="A6" s="1">
        <v>37771</v>
      </c>
      <c r="B6">
        <v>1.0979000000000001</v>
      </c>
      <c r="C6" t="s">
        <v>103</v>
      </c>
      <c r="D6">
        <v>2.2749999999999999</v>
      </c>
      <c r="E6">
        <v>8.9999999999999993E-3</v>
      </c>
      <c r="F6">
        <v>1.3217000000000001</v>
      </c>
      <c r="G6">
        <v>3.45</v>
      </c>
      <c r="H6">
        <v>2.1160000000000001</v>
      </c>
      <c r="I6">
        <v>0.04</v>
      </c>
      <c r="J6">
        <v>3.3698999999999999</v>
      </c>
      <c r="K6">
        <v>4.0659999999999998</v>
      </c>
      <c r="L6">
        <v>3.7210000000000001</v>
      </c>
      <c r="M6">
        <v>0.53</v>
      </c>
      <c r="N6">
        <v>19.47</v>
      </c>
      <c r="O6">
        <v>945</v>
      </c>
      <c r="P6">
        <v>93.29</v>
      </c>
      <c r="Q6">
        <v>103.6392</v>
      </c>
      <c r="R6">
        <v>2.9674999999999998</v>
      </c>
      <c r="S6">
        <v>29.56</v>
      </c>
      <c r="T6">
        <v>26.32</v>
      </c>
      <c r="U6">
        <v>238.04</v>
      </c>
      <c r="V6">
        <v>206.54</v>
      </c>
      <c r="W6">
        <v>857.65</v>
      </c>
      <c r="X6">
        <v>315.44</v>
      </c>
      <c r="Y6">
        <v>13421.6</v>
      </c>
      <c r="Z6" t="s">
        <v>103</v>
      </c>
      <c r="AA6" t="s">
        <v>103</v>
      </c>
      <c r="AB6" t="s">
        <v>103</v>
      </c>
      <c r="AC6">
        <v>22.372900000000001</v>
      </c>
      <c r="AD6">
        <v>22.479500000000002</v>
      </c>
      <c r="AE6">
        <v>23.5152</v>
      </c>
      <c r="AF6">
        <v>26.18</v>
      </c>
      <c r="AG6">
        <v>1.1783999999999999</v>
      </c>
      <c r="AH6">
        <v>119.3</v>
      </c>
      <c r="AI6">
        <v>1.6364000000000001</v>
      </c>
      <c r="AJ6">
        <v>1.3666</v>
      </c>
      <c r="AK6">
        <v>7.7404000000000002</v>
      </c>
      <c r="AL6">
        <v>1.2979000000000001</v>
      </c>
      <c r="AM6">
        <v>97.54</v>
      </c>
      <c r="AN6">
        <v>92.85</v>
      </c>
      <c r="AO6">
        <v>90.93</v>
      </c>
      <c r="AP6">
        <v>70.16</v>
      </c>
      <c r="AQ6">
        <v>70.400000000000006</v>
      </c>
    </row>
    <row r="7" spans="1:43" x14ac:dyDescent="0.25">
      <c r="A7" s="1">
        <v>37802</v>
      </c>
      <c r="B7">
        <v>0.84550000000000003</v>
      </c>
      <c r="C7" t="s">
        <v>103</v>
      </c>
      <c r="D7">
        <v>2.09</v>
      </c>
      <c r="E7">
        <v>7.0000000000000001E-3</v>
      </c>
      <c r="F7">
        <v>1.2999000000000001</v>
      </c>
      <c r="G7">
        <v>3.4849999999999999</v>
      </c>
      <c r="H7">
        <v>2.125</v>
      </c>
      <c r="I7">
        <v>7.3999999999999996E-2</v>
      </c>
      <c r="J7">
        <v>3.5133000000000001</v>
      </c>
      <c r="K7">
        <v>4.157</v>
      </c>
      <c r="L7">
        <v>3.802</v>
      </c>
      <c r="M7">
        <v>0.83599999999999997</v>
      </c>
      <c r="N7">
        <v>19.52</v>
      </c>
      <c r="O7">
        <v>885.83299999999997</v>
      </c>
      <c r="P7">
        <v>94.73</v>
      </c>
      <c r="Q7">
        <v>104.0637</v>
      </c>
      <c r="R7">
        <v>2.8439999999999999</v>
      </c>
      <c r="S7">
        <v>30.19</v>
      </c>
      <c r="T7">
        <v>28.33</v>
      </c>
      <c r="U7">
        <v>234.58</v>
      </c>
      <c r="V7">
        <v>206.36</v>
      </c>
      <c r="W7">
        <v>871.07</v>
      </c>
      <c r="X7">
        <v>332.68</v>
      </c>
      <c r="Y7">
        <v>12972.58</v>
      </c>
      <c r="Z7" t="s">
        <v>103</v>
      </c>
      <c r="AA7" t="s">
        <v>103</v>
      </c>
      <c r="AB7" t="s">
        <v>103</v>
      </c>
      <c r="AC7">
        <v>22.278600000000001</v>
      </c>
      <c r="AD7">
        <v>21.966100000000001</v>
      </c>
      <c r="AE7">
        <v>21.9938</v>
      </c>
      <c r="AF7">
        <v>25.68</v>
      </c>
      <c r="AG7">
        <v>1.1512</v>
      </c>
      <c r="AH7">
        <v>119.8</v>
      </c>
      <c r="AI7">
        <v>1.6546000000000001</v>
      </c>
      <c r="AJ7">
        <v>1.3467</v>
      </c>
      <c r="AK7">
        <v>7.9885999999999999</v>
      </c>
      <c r="AL7">
        <v>1.3509</v>
      </c>
      <c r="AM7">
        <v>92.93</v>
      </c>
      <c r="AN7">
        <v>88.91</v>
      </c>
      <c r="AO7">
        <v>91.43</v>
      </c>
      <c r="AP7">
        <v>70.3</v>
      </c>
      <c r="AQ7">
        <v>69.19</v>
      </c>
    </row>
    <row r="8" spans="1:43" x14ac:dyDescent="0.25">
      <c r="A8" s="1">
        <v>37833</v>
      </c>
      <c r="B8">
        <v>0.9375</v>
      </c>
      <c r="C8" t="s">
        <v>103</v>
      </c>
      <c r="D8">
        <v>2.1320000000000001</v>
      </c>
      <c r="E8">
        <v>3.0000000000000001E-3</v>
      </c>
      <c r="F8">
        <v>1.7398</v>
      </c>
      <c r="G8">
        <v>3.8180000000000001</v>
      </c>
      <c r="H8">
        <v>2.456</v>
      </c>
      <c r="I8">
        <v>7.0000000000000007E-2</v>
      </c>
      <c r="J8">
        <v>4.4055</v>
      </c>
      <c r="K8">
        <v>4.5229999999999997</v>
      </c>
      <c r="L8">
        <v>4.1900000000000004</v>
      </c>
      <c r="M8">
        <v>0.93500000000000005</v>
      </c>
      <c r="N8">
        <v>19.489999999999998</v>
      </c>
      <c r="O8">
        <v>866.66700000000003</v>
      </c>
      <c r="P8">
        <v>96.89</v>
      </c>
      <c r="Q8">
        <v>103.84869999999999</v>
      </c>
      <c r="R8">
        <v>2.9660000000000002</v>
      </c>
      <c r="S8">
        <v>30.54</v>
      </c>
      <c r="T8">
        <v>28.37</v>
      </c>
      <c r="U8">
        <v>231.97</v>
      </c>
      <c r="V8">
        <v>215.95</v>
      </c>
      <c r="W8">
        <v>887.78</v>
      </c>
      <c r="X8">
        <v>352.62</v>
      </c>
      <c r="Y8">
        <v>13571.73</v>
      </c>
      <c r="Z8" t="s">
        <v>103</v>
      </c>
      <c r="AA8" t="s">
        <v>103</v>
      </c>
      <c r="AB8" t="s">
        <v>103</v>
      </c>
      <c r="AC8">
        <v>21.643699999999999</v>
      </c>
      <c r="AD8">
        <v>21.658799999999999</v>
      </c>
      <c r="AE8">
        <v>21.267600000000002</v>
      </c>
      <c r="AF8">
        <v>24.21</v>
      </c>
      <c r="AG8">
        <v>1.1232</v>
      </c>
      <c r="AH8">
        <v>120.55</v>
      </c>
      <c r="AI8">
        <v>1.6108</v>
      </c>
      <c r="AJ8">
        <v>1.4043000000000001</v>
      </c>
      <c r="AK8">
        <v>8.2156000000000002</v>
      </c>
      <c r="AL8">
        <v>1.3709</v>
      </c>
      <c r="AM8">
        <v>101.79</v>
      </c>
      <c r="AN8">
        <v>94.79</v>
      </c>
      <c r="AO8">
        <v>90.63</v>
      </c>
      <c r="AP8">
        <v>69.44</v>
      </c>
      <c r="AQ8">
        <v>72.33</v>
      </c>
    </row>
    <row r="9" spans="1:43" x14ac:dyDescent="0.25">
      <c r="A9" s="1">
        <v>37862</v>
      </c>
      <c r="B9">
        <v>0.96809999999999996</v>
      </c>
      <c r="C9" t="s">
        <v>103</v>
      </c>
      <c r="D9">
        <v>2.169</v>
      </c>
      <c r="E9">
        <v>1.2E-2</v>
      </c>
      <c r="F9">
        <v>1.9679</v>
      </c>
      <c r="G9">
        <v>4.1669999999999998</v>
      </c>
      <c r="H9">
        <v>2.593</v>
      </c>
      <c r="I9">
        <v>0.19</v>
      </c>
      <c r="J9">
        <v>4.4635999999999996</v>
      </c>
      <c r="K9">
        <v>4.6050000000000004</v>
      </c>
      <c r="L9">
        <v>4.1970000000000001</v>
      </c>
      <c r="M9">
        <v>1.454</v>
      </c>
      <c r="N9">
        <v>18.63</v>
      </c>
      <c r="O9">
        <v>770.84799999999996</v>
      </c>
      <c r="P9">
        <v>98.1</v>
      </c>
      <c r="Q9">
        <v>105.05249999999999</v>
      </c>
      <c r="R9">
        <v>2.976</v>
      </c>
      <c r="S9">
        <v>31.57</v>
      </c>
      <c r="T9">
        <v>29.49</v>
      </c>
      <c r="U9">
        <v>237.5</v>
      </c>
      <c r="V9">
        <v>213.9</v>
      </c>
      <c r="W9">
        <v>905.32</v>
      </c>
      <c r="X9">
        <v>375.52</v>
      </c>
      <c r="Y9">
        <v>15174.49</v>
      </c>
      <c r="Z9" t="s">
        <v>103</v>
      </c>
      <c r="AA9" t="s">
        <v>103</v>
      </c>
      <c r="AB9" t="s">
        <v>103</v>
      </c>
      <c r="AC9">
        <v>20.573699999999999</v>
      </c>
      <c r="AD9">
        <v>19.270299999999999</v>
      </c>
      <c r="AE9">
        <v>18.9862</v>
      </c>
      <c r="AF9">
        <v>21.69</v>
      </c>
      <c r="AG9">
        <v>1.0984</v>
      </c>
      <c r="AH9">
        <v>116.92</v>
      </c>
      <c r="AI9">
        <v>1.5777000000000001</v>
      </c>
      <c r="AJ9">
        <v>1.3865000000000001</v>
      </c>
      <c r="AK9">
        <v>8.3506</v>
      </c>
      <c r="AL9">
        <v>1.3998999999999999</v>
      </c>
      <c r="AM9">
        <v>101.17</v>
      </c>
      <c r="AN9">
        <v>95.13</v>
      </c>
      <c r="AO9">
        <v>91.79</v>
      </c>
      <c r="AP9">
        <v>69.98</v>
      </c>
      <c r="AQ9">
        <v>71.22</v>
      </c>
    </row>
    <row r="10" spans="1:43" x14ac:dyDescent="0.25">
      <c r="A10" s="1">
        <v>37894</v>
      </c>
      <c r="B10">
        <v>0.93759999999999999</v>
      </c>
      <c r="C10" t="s">
        <v>103</v>
      </c>
      <c r="D10">
        <v>2.137</v>
      </c>
      <c r="E10">
        <v>1.2E-2</v>
      </c>
      <c r="F10">
        <v>1.4577</v>
      </c>
      <c r="G10">
        <v>4.0149999999999997</v>
      </c>
      <c r="H10">
        <v>2.2970000000000002</v>
      </c>
      <c r="I10">
        <v>0.185</v>
      </c>
      <c r="J10">
        <v>3.9376000000000002</v>
      </c>
      <c r="K10" s="2">
        <v>4.53</v>
      </c>
      <c r="L10">
        <v>3.9950000000000001</v>
      </c>
      <c r="M10">
        <v>1.3839999999999999</v>
      </c>
      <c r="N10">
        <v>22.72</v>
      </c>
      <c r="O10">
        <v>765.005</v>
      </c>
      <c r="P10">
        <v>92.85</v>
      </c>
      <c r="Q10">
        <v>105.03270000000001</v>
      </c>
      <c r="R10">
        <v>2.9</v>
      </c>
      <c r="S10">
        <v>29.2</v>
      </c>
      <c r="T10">
        <v>27.61</v>
      </c>
      <c r="U10">
        <v>250.82</v>
      </c>
      <c r="V10">
        <v>229.08</v>
      </c>
      <c r="W10">
        <v>909.64</v>
      </c>
      <c r="X10">
        <v>377.63</v>
      </c>
      <c r="Y10">
        <v>16010.67</v>
      </c>
      <c r="Z10" t="s">
        <v>103</v>
      </c>
      <c r="AA10" t="s">
        <v>103</v>
      </c>
      <c r="AB10" t="s">
        <v>103</v>
      </c>
      <c r="AC10">
        <v>19.7652</v>
      </c>
      <c r="AD10">
        <v>19.0702</v>
      </c>
      <c r="AE10">
        <v>18.059699999999999</v>
      </c>
      <c r="AF10">
        <v>19.71</v>
      </c>
      <c r="AG10">
        <v>1.1657</v>
      </c>
      <c r="AH10">
        <v>111.5</v>
      </c>
      <c r="AI10">
        <v>1.6617999999999999</v>
      </c>
      <c r="AJ10">
        <v>1.3521000000000001</v>
      </c>
      <c r="AK10">
        <v>7.7534999999999998</v>
      </c>
      <c r="AL10">
        <v>1.3191999999999999</v>
      </c>
      <c r="AM10">
        <v>110.69</v>
      </c>
      <c r="AN10">
        <v>99.81</v>
      </c>
      <c r="AO10">
        <v>94.6</v>
      </c>
      <c r="AP10">
        <v>71.510000000000005</v>
      </c>
      <c r="AQ10">
        <v>72.209999999999994</v>
      </c>
    </row>
    <row r="11" spans="1:43" x14ac:dyDescent="0.25">
      <c r="A11" s="1">
        <v>37925</v>
      </c>
      <c r="B11">
        <v>0.9476</v>
      </c>
      <c r="C11" t="s">
        <v>103</v>
      </c>
      <c r="D11">
        <v>2.1539999999999999</v>
      </c>
      <c r="E11">
        <v>4.0000000000000001E-3</v>
      </c>
      <c r="F11">
        <v>1.8174999999999999</v>
      </c>
      <c r="G11">
        <v>4.6020000000000003</v>
      </c>
      <c r="H11">
        <v>2.6859999999999999</v>
      </c>
      <c r="I11">
        <v>0.14499999999999999</v>
      </c>
      <c r="J11">
        <v>4.2927</v>
      </c>
      <c r="K11" s="2">
        <v>5.0049999999999999</v>
      </c>
      <c r="L11">
        <v>4.3310000000000004</v>
      </c>
      <c r="M11">
        <v>1.4590000000000001</v>
      </c>
      <c r="N11">
        <v>16.100000000000001</v>
      </c>
      <c r="O11">
        <v>634.70799999999997</v>
      </c>
      <c r="P11">
        <v>92.73</v>
      </c>
      <c r="Q11">
        <v>105.4126</v>
      </c>
      <c r="R11">
        <v>2.8675000000000002</v>
      </c>
      <c r="S11">
        <v>29.11</v>
      </c>
      <c r="T11">
        <v>27.7</v>
      </c>
      <c r="U11">
        <v>254.36</v>
      </c>
      <c r="V11">
        <v>246.28</v>
      </c>
      <c r="W11">
        <v>962.71</v>
      </c>
      <c r="X11">
        <v>409.11</v>
      </c>
      <c r="Y11">
        <v>17982.490000000002</v>
      </c>
      <c r="Z11" t="s">
        <v>103</v>
      </c>
      <c r="AA11" t="s">
        <v>103</v>
      </c>
      <c r="AB11" t="s">
        <v>103</v>
      </c>
      <c r="AC11">
        <v>18.6371</v>
      </c>
      <c r="AD11">
        <v>17.941800000000001</v>
      </c>
      <c r="AE11">
        <v>17.654</v>
      </c>
      <c r="AF11">
        <v>18.75</v>
      </c>
      <c r="AG11">
        <v>1.1593</v>
      </c>
      <c r="AH11">
        <v>109.94</v>
      </c>
      <c r="AI11">
        <v>1.6957</v>
      </c>
      <c r="AJ11">
        <v>1.3198000000000001</v>
      </c>
      <c r="AK11">
        <v>7.8338000000000001</v>
      </c>
      <c r="AL11">
        <v>1.3394999999999999</v>
      </c>
      <c r="AM11">
        <v>124.24</v>
      </c>
      <c r="AN11">
        <v>104.87</v>
      </c>
      <c r="AO11">
        <v>95</v>
      </c>
      <c r="AP11">
        <v>71.540000000000006</v>
      </c>
      <c r="AQ11">
        <v>73.739999999999995</v>
      </c>
    </row>
    <row r="12" spans="1:43" x14ac:dyDescent="0.25">
      <c r="A12" s="1">
        <v>37953</v>
      </c>
      <c r="B12">
        <v>0.92720000000000002</v>
      </c>
      <c r="C12" t="s">
        <v>103</v>
      </c>
      <c r="D12">
        <v>2.1640000000000001</v>
      </c>
      <c r="E12">
        <v>7.0000000000000001E-3</v>
      </c>
      <c r="F12">
        <v>2.0436999999999999</v>
      </c>
      <c r="G12">
        <v>4.5860000000000003</v>
      </c>
      <c r="H12">
        <v>2.8119999999999998</v>
      </c>
      <c r="I12">
        <v>0.14499999999999999</v>
      </c>
      <c r="J12">
        <v>4.3315999999999999</v>
      </c>
      <c r="K12" s="2">
        <v>5.0759999999999996</v>
      </c>
      <c r="L12">
        <v>4.4569999999999999</v>
      </c>
      <c r="M12">
        <v>1.294</v>
      </c>
      <c r="N12">
        <v>16.32</v>
      </c>
      <c r="O12">
        <v>505.815</v>
      </c>
      <c r="P12">
        <v>90.23</v>
      </c>
      <c r="Q12">
        <v>105.61750000000001</v>
      </c>
      <c r="R12">
        <v>2.9460000000000002</v>
      </c>
      <c r="S12">
        <v>30.41</v>
      </c>
      <c r="T12">
        <v>28.45</v>
      </c>
      <c r="U12">
        <v>256.64999999999998</v>
      </c>
      <c r="V12">
        <v>249.27</v>
      </c>
      <c r="W12">
        <v>976.02</v>
      </c>
      <c r="X12">
        <v>413.33</v>
      </c>
      <c r="Y12">
        <v>20183.97</v>
      </c>
      <c r="Z12" t="s">
        <v>103</v>
      </c>
      <c r="AA12" t="s">
        <v>103</v>
      </c>
      <c r="AB12" t="s">
        <v>103</v>
      </c>
      <c r="AC12">
        <v>16.859000000000002</v>
      </c>
      <c r="AD12">
        <v>16.380700000000001</v>
      </c>
      <c r="AE12">
        <v>16.025400000000001</v>
      </c>
      <c r="AF12">
        <v>17.25</v>
      </c>
      <c r="AG12">
        <v>1.1996</v>
      </c>
      <c r="AH12">
        <v>109.63</v>
      </c>
      <c r="AI12">
        <v>1.7222</v>
      </c>
      <c r="AJ12">
        <v>1.3008</v>
      </c>
      <c r="AK12">
        <v>7.5477999999999996</v>
      </c>
      <c r="AL12">
        <v>1.2909999999999999</v>
      </c>
      <c r="AM12">
        <v>125.05</v>
      </c>
      <c r="AN12">
        <v>98.58</v>
      </c>
      <c r="AO12">
        <v>95.94</v>
      </c>
      <c r="AP12">
        <v>71.61</v>
      </c>
      <c r="AQ12">
        <v>71.56</v>
      </c>
    </row>
    <row r="13" spans="1:43" x14ac:dyDescent="0.25">
      <c r="A13" s="1">
        <v>37986</v>
      </c>
      <c r="B13">
        <v>0.91710000000000003</v>
      </c>
      <c r="C13" t="s">
        <v>103</v>
      </c>
      <c r="D13">
        <v>2.1429999999999998</v>
      </c>
      <c r="E13">
        <v>3.0000000000000001E-3</v>
      </c>
      <c r="F13">
        <v>1.8189</v>
      </c>
      <c r="G13">
        <v>4.298</v>
      </c>
      <c r="H13">
        <v>2.605</v>
      </c>
      <c r="I13">
        <v>0.115</v>
      </c>
      <c r="J13">
        <v>4.2454999999999998</v>
      </c>
      <c r="K13" s="2">
        <v>4.8019999999999996</v>
      </c>
      <c r="L13">
        <v>4.2919999999999998</v>
      </c>
      <c r="M13">
        <v>1.36</v>
      </c>
      <c r="N13">
        <v>18.309999999999999</v>
      </c>
      <c r="O13">
        <v>403.92</v>
      </c>
      <c r="P13">
        <v>86.92</v>
      </c>
      <c r="Q13">
        <v>105.7757</v>
      </c>
      <c r="R13">
        <v>2.8915000000000002</v>
      </c>
      <c r="S13">
        <v>32.520000000000003</v>
      </c>
      <c r="T13">
        <v>30.17</v>
      </c>
      <c r="U13">
        <v>250.24</v>
      </c>
      <c r="V13">
        <v>276.69</v>
      </c>
      <c r="W13">
        <v>1036.32</v>
      </c>
      <c r="X13">
        <v>442.78</v>
      </c>
      <c r="Y13">
        <v>22236.39</v>
      </c>
      <c r="Z13" t="s">
        <v>103</v>
      </c>
      <c r="AA13" t="s">
        <v>103</v>
      </c>
      <c r="AB13" t="s">
        <v>103</v>
      </c>
      <c r="AC13">
        <v>16.832100000000001</v>
      </c>
      <c r="AD13">
        <v>16.248000000000001</v>
      </c>
      <c r="AE13">
        <v>15.8781</v>
      </c>
      <c r="AF13">
        <v>16.27</v>
      </c>
      <c r="AG13">
        <v>1.2595000000000001</v>
      </c>
      <c r="AH13">
        <v>107.22</v>
      </c>
      <c r="AI13">
        <v>1.7858000000000001</v>
      </c>
      <c r="AJ13">
        <v>1.2969999999999999</v>
      </c>
      <c r="AK13">
        <v>7.1891999999999996</v>
      </c>
      <c r="AL13">
        <v>1.2391000000000001</v>
      </c>
      <c r="AM13">
        <v>106.37</v>
      </c>
      <c r="AN13">
        <v>90.74</v>
      </c>
      <c r="AO13">
        <v>94.65</v>
      </c>
      <c r="AP13">
        <v>71.39</v>
      </c>
      <c r="AQ13">
        <v>70</v>
      </c>
    </row>
    <row r="14" spans="1:43" x14ac:dyDescent="0.25">
      <c r="A14" s="1">
        <v>38016</v>
      </c>
      <c r="B14">
        <v>0.90680000000000005</v>
      </c>
      <c r="C14" t="s">
        <v>103</v>
      </c>
      <c r="D14">
        <v>2.109</v>
      </c>
      <c r="E14">
        <v>3.0000000000000001E-3</v>
      </c>
      <c r="F14">
        <v>1.8189</v>
      </c>
      <c r="G14">
        <v>4.4119999999999999</v>
      </c>
      <c r="H14">
        <v>2.524</v>
      </c>
      <c r="I14">
        <v>7.0000000000000007E-2</v>
      </c>
      <c r="J14">
        <v>4.1318999999999999</v>
      </c>
      <c r="K14" s="2">
        <v>4.9000000000000004</v>
      </c>
      <c r="L14">
        <v>4.24</v>
      </c>
      <c r="M14">
        <v>1.3120000000000001</v>
      </c>
      <c r="N14">
        <v>16.63</v>
      </c>
      <c r="O14">
        <v>492.89400000000001</v>
      </c>
      <c r="P14">
        <v>87.2</v>
      </c>
      <c r="Q14">
        <v>104.496</v>
      </c>
      <c r="R14">
        <v>2.9344999999999999</v>
      </c>
      <c r="S14">
        <v>33.049999999999997</v>
      </c>
      <c r="T14">
        <v>29.18</v>
      </c>
      <c r="U14">
        <v>268.94</v>
      </c>
      <c r="V14">
        <v>291.79000000000002</v>
      </c>
      <c r="W14">
        <v>1052.29</v>
      </c>
      <c r="X14">
        <v>457.19</v>
      </c>
      <c r="Y14">
        <v>21851.439999999999</v>
      </c>
      <c r="Z14" t="s">
        <v>103</v>
      </c>
      <c r="AA14" t="s">
        <v>103</v>
      </c>
      <c r="AB14" t="s">
        <v>103</v>
      </c>
      <c r="AC14">
        <v>16.270600000000002</v>
      </c>
      <c r="AD14">
        <v>15.828900000000001</v>
      </c>
      <c r="AE14">
        <v>15.7509</v>
      </c>
      <c r="AF14">
        <v>16.22</v>
      </c>
      <c r="AG14">
        <v>1.2478</v>
      </c>
      <c r="AH14">
        <v>105.71</v>
      </c>
      <c r="AI14">
        <v>1.8238000000000001</v>
      </c>
      <c r="AJ14">
        <v>1.3251999999999999</v>
      </c>
      <c r="AK14">
        <v>7.3818999999999999</v>
      </c>
      <c r="AL14">
        <v>1.2565</v>
      </c>
      <c r="AM14">
        <v>101.78</v>
      </c>
      <c r="AN14">
        <v>89.48</v>
      </c>
      <c r="AO14">
        <v>96.37</v>
      </c>
      <c r="AP14">
        <v>72.760000000000005</v>
      </c>
      <c r="AQ14">
        <v>69.2</v>
      </c>
    </row>
    <row r="15" spans="1:43" x14ac:dyDescent="0.25">
      <c r="A15" s="1">
        <v>38044</v>
      </c>
      <c r="B15">
        <v>0.93740000000000001</v>
      </c>
      <c r="C15" t="s">
        <v>103</v>
      </c>
      <c r="D15">
        <v>2.073</v>
      </c>
      <c r="E15">
        <v>6.0000000000000001E-3</v>
      </c>
      <c r="F15">
        <v>1.641</v>
      </c>
      <c r="G15">
        <v>4.274</v>
      </c>
      <c r="H15">
        <v>2.2149999999999999</v>
      </c>
      <c r="I15">
        <v>5.5E-2</v>
      </c>
      <c r="J15">
        <v>3.9710999999999999</v>
      </c>
      <c r="K15" s="2">
        <v>4.7640000000000002</v>
      </c>
      <c r="L15">
        <v>4.0510000000000002</v>
      </c>
      <c r="M15">
        <v>1.2250000000000001</v>
      </c>
      <c r="N15">
        <v>14.55</v>
      </c>
      <c r="O15">
        <v>601.19299999999998</v>
      </c>
      <c r="P15">
        <v>87.31</v>
      </c>
      <c r="Q15">
        <v>104.7886</v>
      </c>
      <c r="R15">
        <v>2.9058999999999999</v>
      </c>
      <c r="S15">
        <v>36.159999999999997</v>
      </c>
      <c r="T15">
        <v>32.229999999999997</v>
      </c>
      <c r="U15">
        <v>283.68</v>
      </c>
      <c r="V15">
        <v>316.06</v>
      </c>
      <c r="W15">
        <v>1068.6500000000001</v>
      </c>
      <c r="X15">
        <v>477.73</v>
      </c>
      <c r="Y15">
        <v>21755.02</v>
      </c>
      <c r="Z15" t="s">
        <v>103</v>
      </c>
      <c r="AA15" t="s">
        <v>103</v>
      </c>
      <c r="AB15" t="s">
        <v>103</v>
      </c>
      <c r="AC15">
        <v>15.8207</v>
      </c>
      <c r="AD15">
        <v>15.8733</v>
      </c>
      <c r="AE15">
        <v>15.804</v>
      </c>
      <c r="AF15">
        <v>16.239999999999998</v>
      </c>
      <c r="AG15">
        <v>1.2493000000000001</v>
      </c>
      <c r="AH15">
        <v>109.11</v>
      </c>
      <c r="AI15">
        <v>1.8685</v>
      </c>
      <c r="AJ15">
        <v>1.3343</v>
      </c>
      <c r="AK15">
        <v>7.3897000000000004</v>
      </c>
      <c r="AL15">
        <v>1.2623</v>
      </c>
      <c r="AM15">
        <v>102.25</v>
      </c>
      <c r="AN15">
        <v>86.27</v>
      </c>
      <c r="AO15">
        <v>97.86</v>
      </c>
      <c r="AP15">
        <v>73.459999999999994</v>
      </c>
      <c r="AQ15">
        <v>69.81</v>
      </c>
    </row>
    <row r="16" spans="1:43" x14ac:dyDescent="0.25">
      <c r="A16" s="1">
        <v>38077</v>
      </c>
      <c r="B16">
        <v>0.9375</v>
      </c>
      <c r="C16" t="s">
        <v>103</v>
      </c>
      <c r="D16">
        <v>1.9930000000000001</v>
      </c>
      <c r="E16">
        <v>6.0000000000000001E-3</v>
      </c>
      <c r="F16">
        <v>1.5718000000000001</v>
      </c>
      <c r="G16">
        <v>4.4160000000000004</v>
      </c>
      <c r="H16">
        <v>2.1339999999999999</v>
      </c>
      <c r="I16">
        <v>0.12</v>
      </c>
      <c r="J16">
        <v>3.8348</v>
      </c>
      <c r="K16" s="2">
        <v>4.7510000000000003</v>
      </c>
      <c r="L16">
        <v>3.931</v>
      </c>
      <c r="M16">
        <v>1.44</v>
      </c>
      <c r="N16">
        <v>16.739999999999998</v>
      </c>
      <c r="O16">
        <v>573.42399999999998</v>
      </c>
      <c r="P16">
        <v>87.61</v>
      </c>
      <c r="Q16">
        <v>104.89490000000001</v>
      </c>
      <c r="R16">
        <v>2.8953000000000002</v>
      </c>
      <c r="S16">
        <v>35.76</v>
      </c>
      <c r="T16">
        <v>31.51</v>
      </c>
      <c r="U16">
        <v>286.39</v>
      </c>
      <c r="V16">
        <v>327.01</v>
      </c>
      <c r="W16">
        <v>1059.1600000000001</v>
      </c>
      <c r="X16">
        <v>482.06</v>
      </c>
      <c r="Y16">
        <v>22142.26</v>
      </c>
      <c r="Z16" t="s">
        <v>103</v>
      </c>
      <c r="AA16" t="s">
        <v>103</v>
      </c>
      <c r="AB16" t="s">
        <v>103</v>
      </c>
      <c r="AC16">
        <v>16.067299999999999</v>
      </c>
      <c r="AD16">
        <v>15.588200000000001</v>
      </c>
      <c r="AE16">
        <v>15.24</v>
      </c>
      <c r="AF16">
        <v>16.02</v>
      </c>
      <c r="AG16">
        <v>1.2316</v>
      </c>
      <c r="AH16">
        <v>104.23</v>
      </c>
      <c r="AI16">
        <v>1.8462000000000001</v>
      </c>
      <c r="AJ16">
        <v>1.3092999999999999</v>
      </c>
      <c r="AK16">
        <v>7.5364000000000004</v>
      </c>
      <c r="AL16">
        <v>1.2659</v>
      </c>
      <c r="AM16">
        <v>128.07</v>
      </c>
      <c r="AN16">
        <v>101.3</v>
      </c>
      <c r="AO16">
        <v>98.51</v>
      </c>
      <c r="AP16">
        <v>74.31</v>
      </c>
      <c r="AQ16">
        <v>78.599999999999994</v>
      </c>
    </row>
    <row r="17" spans="1:43" x14ac:dyDescent="0.25">
      <c r="A17" s="1">
        <v>38107</v>
      </c>
      <c r="B17">
        <v>0.95779999999999998</v>
      </c>
      <c r="C17" t="s">
        <v>103</v>
      </c>
      <c r="D17">
        <v>2.0870000000000002</v>
      </c>
      <c r="E17">
        <v>8.0000000000000002E-3</v>
      </c>
      <c r="F17">
        <v>2.3144999999999998</v>
      </c>
      <c r="G17">
        <v>4.5739999999999998</v>
      </c>
      <c r="H17">
        <v>2.4390000000000001</v>
      </c>
      <c r="I17">
        <v>0.14000000000000001</v>
      </c>
      <c r="J17">
        <v>4.5053000000000001</v>
      </c>
      <c r="K17" s="2">
        <v>4.9889999999999999</v>
      </c>
      <c r="L17">
        <v>4.1749999999999998</v>
      </c>
      <c r="M17">
        <v>1.53</v>
      </c>
      <c r="N17">
        <v>17.190000000000001</v>
      </c>
      <c r="O17">
        <v>742.28399999999999</v>
      </c>
      <c r="P17">
        <v>90.48</v>
      </c>
      <c r="Q17">
        <v>105.28530000000001</v>
      </c>
      <c r="R17">
        <v>2.9329999999999998</v>
      </c>
      <c r="S17">
        <v>37.380000000000003</v>
      </c>
      <c r="T17">
        <v>34.479999999999997</v>
      </c>
      <c r="U17">
        <v>292.74</v>
      </c>
      <c r="V17">
        <v>315.88</v>
      </c>
      <c r="W17">
        <v>1035.6600000000001</v>
      </c>
      <c r="X17">
        <v>441.3</v>
      </c>
      <c r="Y17">
        <v>19607.23</v>
      </c>
      <c r="Z17" t="s">
        <v>103</v>
      </c>
      <c r="AA17" t="s">
        <v>103</v>
      </c>
      <c r="AB17" t="s">
        <v>103</v>
      </c>
      <c r="AC17">
        <v>17.407499999999999</v>
      </c>
      <c r="AD17">
        <v>16.6206</v>
      </c>
      <c r="AE17">
        <v>15.8467</v>
      </c>
      <c r="AF17">
        <v>15.74</v>
      </c>
      <c r="AG17">
        <v>1.198</v>
      </c>
      <c r="AH17">
        <v>110.52</v>
      </c>
      <c r="AI17">
        <v>1.7781</v>
      </c>
      <c r="AJ17">
        <v>1.3722000000000001</v>
      </c>
      <c r="AK17">
        <v>7.6445999999999996</v>
      </c>
      <c r="AL17">
        <v>1.2956000000000001</v>
      </c>
      <c r="AM17">
        <v>117.68</v>
      </c>
      <c r="AN17">
        <v>95.79</v>
      </c>
      <c r="AO17">
        <v>99.24</v>
      </c>
      <c r="AP17">
        <v>74.73</v>
      </c>
      <c r="AQ17">
        <v>75.36</v>
      </c>
    </row>
    <row r="18" spans="1:43" x14ac:dyDescent="0.25">
      <c r="A18" s="1">
        <v>38138</v>
      </c>
      <c r="B18">
        <v>1.0599000000000001</v>
      </c>
      <c r="C18" t="s">
        <v>103</v>
      </c>
      <c r="D18">
        <v>2.1080000000000001</v>
      </c>
      <c r="E18">
        <v>4.0000000000000001E-3</v>
      </c>
      <c r="F18">
        <v>2.5323000000000002</v>
      </c>
      <c r="G18">
        <v>4.9269999999999996</v>
      </c>
      <c r="H18">
        <v>2.5779999999999998</v>
      </c>
      <c r="I18">
        <v>0.14000000000000001</v>
      </c>
      <c r="J18">
        <v>4.6467999999999998</v>
      </c>
      <c r="K18" s="2">
        <v>5.157</v>
      </c>
      <c r="L18">
        <v>4.3739999999999997</v>
      </c>
      <c r="M18">
        <v>1.5189999999999999</v>
      </c>
      <c r="N18">
        <v>15.5</v>
      </c>
      <c r="O18">
        <v>805.41899999999998</v>
      </c>
      <c r="P18">
        <v>88.9</v>
      </c>
      <c r="Q18">
        <v>106.9179</v>
      </c>
      <c r="R18">
        <v>3.1890000000000001</v>
      </c>
      <c r="S18">
        <v>39.880000000000003</v>
      </c>
      <c r="T18">
        <v>36.58</v>
      </c>
      <c r="U18">
        <v>277.72000000000003</v>
      </c>
      <c r="V18">
        <v>323.91000000000003</v>
      </c>
      <c r="W18">
        <v>1042.6300000000001</v>
      </c>
      <c r="X18">
        <v>431.26</v>
      </c>
      <c r="Y18">
        <v>19544.669999999998</v>
      </c>
      <c r="Z18" t="s">
        <v>103</v>
      </c>
      <c r="AA18" t="s">
        <v>103</v>
      </c>
      <c r="AB18" t="s">
        <v>103</v>
      </c>
      <c r="AC18">
        <v>20.751300000000001</v>
      </c>
      <c r="AD18">
        <v>19.9253</v>
      </c>
      <c r="AE18">
        <v>18.816500000000001</v>
      </c>
      <c r="AF18">
        <v>15.81</v>
      </c>
      <c r="AG18">
        <v>1.2188000000000001</v>
      </c>
      <c r="AH18">
        <v>109.52</v>
      </c>
      <c r="AI18">
        <v>1.8323</v>
      </c>
      <c r="AJ18">
        <v>1.3624000000000001</v>
      </c>
      <c r="AK18">
        <v>7.4663000000000004</v>
      </c>
      <c r="AL18">
        <v>1.2541</v>
      </c>
      <c r="AM18">
        <v>125.25</v>
      </c>
      <c r="AN18">
        <v>100.61</v>
      </c>
      <c r="AO18">
        <v>100.12</v>
      </c>
      <c r="AP18">
        <v>74.64</v>
      </c>
      <c r="AQ18">
        <v>74.42</v>
      </c>
    </row>
    <row r="19" spans="1:43" x14ac:dyDescent="0.25">
      <c r="A19" s="1">
        <v>38168</v>
      </c>
      <c r="B19">
        <v>1.2612000000000001</v>
      </c>
      <c r="C19" t="s">
        <v>103</v>
      </c>
      <c r="D19">
        <v>2.129</v>
      </c>
      <c r="E19">
        <v>1.0999999999999999E-2</v>
      </c>
      <c r="F19">
        <v>2.6772</v>
      </c>
      <c r="G19">
        <v>4.9569999999999999</v>
      </c>
      <c r="H19">
        <v>2.7229999999999999</v>
      </c>
      <c r="I19">
        <v>0.16900000000000001</v>
      </c>
      <c r="J19">
        <v>4.5805999999999996</v>
      </c>
      <c r="K19" s="2">
        <v>5.0990000000000002</v>
      </c>
      <c r="L19">
        <v>4.3179999999999996</v>
      </c>
      <c r="M19">
        <v>1.776</v>
      </c>
      <c r="N19">
        <v>14.34</v>
      </c>
      <c r="O19">
        <v>706.94100000000003</v>
      </c>
      <c r="P19">
        <v>88.8</v>
      </c>
      <c r="Q19">
        <v>106.61069999999999</v>
      </c>
      <c r="R19">
        <v>3.085</v>
      </c>
      <c r="S19">
        <v>37.049999999999997</v>
      </c>
      <c r="T19">
        <v>34.5</v>
      </c>
      <c r="U19">
        <v>270.73</v>
      </c>
      <c r="V19">
        <v>300.89</v>
      </c>
      <c r="W19">
        <v>1062.51</v>
      </c>
      <c r="X19">
        <v>432.2</v>
      </c>
      <c r="Y19">
        <v>21148.91</v>
      </c>
      <c r="Z19" t="s">
        <v>103</v>
      </c>
      <c r="AA19" t="s">
        <v>103</v>
      </c>
      <c r="AB19" t="s">
        <v>103</v>
      </c>
      <c r="AC19">
        <v>19.238700000000001</v>
      </c>
      <c r="AD19">
        <v>18.079999999999998</v>
      </c>
      <c r="AE19">
        <v>17.027200000000001</v>
      </c>
      <c r="AF19">
        <v>15.72</v>
      </c>
      <c r="AG19">
        <v>1.22</v>
      </c>
      <c r="AH19">
        <v>108.77</v>
      </c>
      <c r="AI19">
        <v>1.8204</v>
      </c>
      <c r="AJ19">
        <v>1.3328</v>
      </c>
      <c r="AK19">
        <v>7.5119999999999996</v>
      </c>
      <c r="AL19">
        <v>1.2486999999999999</v>
      </c>
      <c r="AM19">
        <v>124.66</v>
      </c>
      <c r="AN19">
        <v>100.37</v>
      </c>
      <c r="AO19">
        <v>100.51</v>
      </c>
      <c r="AP19">
        <v>75.239999999999995</v>
      </c>
      <c r="AQ19">
        <v>75.099999999999994</v>
      </c>
    </row>
    <row r="20" spans="1:43" x14ac:dyDescent="0.25">
      <c r="A20" s="1">
        <v>38198</v>
      </c>
      <c r="B20">
        <v>1.4345000000000001</v>
      </c>
      <c r="C20" t="s">
        <v>103</v>
      </c>
      <c r="D20">
        <v>2.1179999999999999</v>
      </c>
      <c r="E20">
        <v>8.0000000000000002E-3</v>
      </c>
      <c r="F20">
        <v>2.6770999999999998</v>
      </c>
      <c r="G20">
        <v>5.0430000000000001</v>
      </c>
      <c r="H20">
        <v>2.6259999999999999</v>
      </c>
      <c r="I20">
        <v>0.21099999999999999</v>
      </c>
      <c r="J20">
        <v>4.4747000000000003</v>
      </c>
      <c r="K20" s="2">
        <v>5.0960000000000001</v>
      </c>
      <c r="L20">
        <v>4.2160000000000002</v>
      </c>
      <c r="M20">
        <v>1.849</v>
      </c>
      <c r="N20">
        <v>15.32</v>
      </c>
      <c r="O20">
        <v>610.83299999999997</v>
      </c>
      <c r="P20">
        <v>89.96</v>
      </c>
      <c r="Q20">
        <v>106.64490000000001</v>
      </c>
      <c r="R20">
        <v>3.0365000000000002</v>
      </c>
      <c r="S20">
        <v>43.8</v>
      </c>
      <c r="T20">
        <v>40.03</v>
      </c>
      <c r="U20">
        <v>265.42</v>
      </c>
      <c r="V20">
        <v>320.20999999999998</v>
      </c>
      <c r="W20">
        <v>1026.99</v>
      </c>
      <c r="X20">
        <v>423.14</v>
      </c>
      <c r="Y20">
        <v>22336.87</v>
      </c>
      <c r="Z20" t="s">
        <v>103</v>
      </c>
      <c r="AA20" t="s">
        <v>103</v>
      </c>
      <c r="AB20" t="s">
        <v>103</v>
      </c>
      <c r="AC20">
        <v>18.470199999999998</v>
      </c>
      <c r="AD20">
        <v>18.476400000000002</v>
      </c>
      <c r="AE20">
        <v>17.630700000000001</v>
      </c>
      <c r="AF20">
        <v>15.74</v>
      </c>
      <c r="AG20">
        <v>1.2019</v>
      </c>
      <c r="AH20">
        <v>111.36</v>
      </c>
      <c r="AI20">
        <v>1.8199000000000001</v>
      </c>
      <c r="AJ20">
        <v>1.3313999999999999</v>
      </c>
      <c r="AK20">
        <v>7.6753</v>
      </c>
      <c r="AL20">
        <v>1.2815000000000001</v>
      </c>
      <c r="AM20">
        <v>127.77</v>
      </c>
      <c r="AN20">
        <v>104.98</v>
      </c>
      <c r="AO20">
        <v>101.21</v>
      </c>
      <c r="AP20">
        <v>75.569999999999993</v>
      </c>
      <c r="AQ20">
        <v>78.239999999999995</v>
      </c>
    </row>
    <row r="21" spans="1:43" x14ac:dyDescent="0.25">
      <c r="A21" s="1">
        <v>38230</v>
      </c>
      <c r="B21">
        <v>1.5778000000000001</v>
      </c>
      <c r="C21" t="s">
        <v>103</v>
      </c>
      <c r="D21">
        <v>2.1230000000000002</v>
      </c>
      <c r="E21">
        <v>8.9999999999999993E-3</v>
      </c>
      <c r="F21">
        <v>2.3910999999999998</v>
      </c>
      <c r="G21">
        <v>4.7949999999999999</v>
      </c>
      <c r="H21">
        <v>2.415</v>
      </c>
      <c r="I21">
        <v>0.159</v>
      </c>
      <c r="J21">
        <v>4.1166999999999998</v>
      </c>
      <c r="K21" s="2">
        <v>4.923</v>
      </c>
      <c r="L21">
        <v>4.0229999999999997</v>
      </c>
      <c r="M21">
        <v>1.534</v>
      </c>
      <c r="N21">
        <v>15.29</v>
      </c>
      <c r="O21">
        <v>486</v>
      </c>
      <c r="P21">
        <v>88.94</v>
      </c>
      <c r="Q21">
        <v>106.5712</v>
      </c>
      <c r="R21">
        <v>2.927</v>
      </c>
      <c r="S21">
        <v>42.12</v>
      </c>
      <c r="T21">
        <v>39.61</v>
      </c>
      <c r="U21">
        <v>277.74</v>
      </c>
      <c r="V21">
        <v>316.01</v>
      </c>
      <c r="W21">
        <v>1029.6300000000001</v>
      </c>
      <c r="X21">
        <v>439.75</v>
      </c>
      <c r="Y21">
        <v>22803.19</v>
      </c>
      <c r="Z21" t="s">
        <v>103</v>
      </c>
      <c r="AA21" t="s">
        <v>103</v>
      </c>
      <c r="AB21" t="s">
        <v>103</v>
      </c>
      <c r="AC21">
        <v>19.225300000000001</v>
      </c>
      <c r="AD21">
        <v>18.600000000000001</v>
      </c>
      <c r="AE21">
        <v>17.972300000000001</v>
      </c>
      <c r="AF21">
        <v>15.82</v>
      </c>
      <c r="AG21">
        <v>1.2182999999999999</v>
      </c>
      <c r="AH21">
        <v>109.17</v>
      </c>
      <c r="AI21">
        <v>1.8024</v>
      </c>
      <c r="AJ21">
        <v>1.3127</v>
      </c>
      <c r="AK21">
        <v>7.5</v>
      </c>
      <c r="AL21">
        <v>1.2664</v>
      </c>
      <c r="AM21">
        <v>132.37</v>
      </c>
      <c r="AN21">
        <v>107.38</v>
      </c>
      <c r="AO21">
        <v>102.23</v>
      </c>
      <c r="AP21">
        <v>75.91</v>
      </c>
      <c r="AQ21">
        <v>77.67</v>
      </c>
    </row>
    <row r="22" spans="1:43" x14ac:dyDescent="0.25">
      <c r="A22" s="1">
        <v>38260</v>
      </c>
      <c r="B22">
        <v>1.7002999999999999</v>
      </c>
      <c r="C22" t="s">
        <v>103</v>
      </c>
      <c r="D22">
        <v>2.1469999999999998</v>
      </c>
      <c r="E22">
        <v>7.0000000000000001E-3</v>
      </c>
      <c r="F22">
        <v>2.605</v>
      </c>
      <c r="G22">
        <v>4.6790000000000003</v>
      </c>
      <c r="H22">
        <v>2.5830000000000002</v>
      </c>
      <c r="I22">
        <v>0.13</v>
      </c>
      <c r="J22">
        <v>4.1193999999999997</v>
      </c>
      <c r="K22" s="2">
        <v>4.8330000000000002</v>
      </c>
      <c r="L22">
        <v>3.9910000000000001</v>
      </c>
      <c r="M22">
        <v>1.4390000000000001</v>
      </c>
      <c r="N22">
        <v>13.34</v>
      </c>
      <c r="O22">
        <v>443.125</v>
      </c>
      <c r="P22">
        <v>87.37</v>
      </c>
      <c r="Q22">
        <v>106.40600000000001</v>
      </c>
      <c r="R22">
        <v>2.8607999999999998</v>
      </c>
      <c r="S22">
        <v>49.64</v>
      </c>
      <c r="T22">
        <v>46.38</v>
      </c>
      <c r="U22">
        <v>264.04000000000002</v>
      </c>
      <c r="V22">
        <v>354.08</v>
      </c>
      <c r="W22">
        <v>1047.8599999999999</v>
      </c>
      <c r="X22">
        <v>464.15</v>
      </c>
      <c r="Y22">
        <v>23245.24</v>
      </c>
      <c r="Z22" t="s">
        <v>103</v>
      </c>
      <c r="AA22" t="s">
        <v>103</v>
      </c>
      <c r="AB22" t="s">
        <v>103</v>
      </c>
      <c r="AC22">
        <v>17.866399999999999</v>
      </c>
      <c r="AD22">
        <v>17.6813</v>
      </c>
      <c r="AE22">
        <v>17.4086</v>
      </c>
      <c r="AF22">
        <v>16.170000000000002</v>
      </c>
      <c r="AG22">
        <v>1.2436</v>
      </c>
      <c r="AH22">
        <v>110.05</v>
      </c>
      <c r="AI22">
        <v>1.8120000000000001</v>
      </c>
      <c r="AJ22">
        <v>1.2613000000000001</v>
      </c>
      <c r="AK22">
        <v>7.2702999999999998</v>
      </c>
      <c r="AL22">
        <v>1.2461</v>
      </c>
      <c r="AM22">
        <v>127.3</v>
      </c>
      <c r="AN22">
        <v>107.36</v>
      </c>
      <c r="AO22">
        <v>102.73</v>
      </c>
      <c r="AP22">
        <v>76.7</v>
      </c>
      <c r="AQ22">
        <v>76.66</v>
      </c>
    </row>
    <row r="23" spans="1:43" x14ac:dyDescent="0.25">
      <c r="A23" s="1">
        <v>38289</v>
      </c>
      <c r="B23">
        <v>1.8943000000000001</v>
      </c>
      <c r="C23" t="s">
        <v>103</v>
      </c>
      <c r="D23">
        <v>2.1739999999999999</v>
      </c>
      <c r="E23">
        <v>1E-3</v>
      </c>
      <c r="F23">
        <v>2.5484</v>
      </c>
      <c r="G23">
        <v>4.5640000000000001</v>
      </c>
      <c r="H23">
        <v>2.4289999999999998</v>
      </c>
      <c r="I23">
        <v>0.12</v>
      </c>
      <c r="J23">
        <v>4.0235000000000003</v>
      </c>
      <c r="K23" s="2">
        <v>4.7380000000000004</v>
      </c>
      <c r="L23">
        <v>3.8730000000000002</v>
      </c>
      <c r="M23">
        <v>1.4890000000000001</v>
      </c>
      <c r="N23">
        <v>16.27</v>
      </c>
      <c r="O23">
        <v>436</v>
      </c>
      <c r="P23">
        <v>84.91</v>
      </c>
      <c r="Q23">
        <v>105.8904</v>
      </c>
      <c r="R23">
        <v>2.8570000000000002</v>
      </c>
      <c r="S23">
        <v>51.76</v>
      </c>
      <c r="T23">
        <v>48.98</v>
      </c>
      <c r="U23">
        <v>258.5</v>
      </c>
      <c r="V23">
        <v>348.25</v>
      </c>
      <c r="W23">
        <v>1072.7</v>
      </c>
      <c r="X23">
        <v>474.27</v>
      </c>
      <c r="Y23">
        <v>23052.18</v>
      </c>
      <c r="Z23" t="s">
        <v>103</v>
      </c>
      <c r="AA23" t="s">
        <v>103</v>
      </c>
      <c r="AB23" t="s">
        <v>103</v>
      </c>
      <c r="AC23">
        <v>18.095500000000001</v>
      </c>
      <c r="AD23">
        <v>18.146000000000001</v>
      </c>
      <c r="AE23">
        <v>17.917200000000001</v>
      </c>
      <c r="AF23">
        <v>16.66</v>
      </c>
      <c r="AG23">
        <v>1.2798</v>
      </c>
      <c r="AH23">
        <v>105.81</v>
      </c>
      <c r="AI23">
        <v>1.8372999999999999</v>
      </c>
      <c r="AJ23">
        <v>1.2177</v>
      </c>
      <c r="AK23">
        <v>7.0750000000000002</v>
      </c>
      <c r="AL23">
        <v>1.1942999999999999</v>
      </c>
      <c r="AM23">
        <v>130.19999999999999</v>
      </c>
      <c r="AN23">
        <v>108.94</v>
      </c>
      <c r="AO23">
        <v>102.11</v>
      </c>
      <c r="AP23">
        <v>76.28</v>
      </c>
      <c r="AQ23">
        <v>76.430000000000007</v>
      </c>
    </row>
    <row r="24" spans="1:43" x14ac:dyDescent="0.25">
      <c r="A24" s="1">
        <v>38321</v>
      </c>
      <c r="B24">
        <v>2.2227000000000001</v>
      </c>
      <c r="C24" t="s">
        <v>103</v>
      </c>
      <c r="D24">
        <v>2.1419999999999999</v>
      </c>
      <c r="E24">
        <v>2E-3</v>
      </c>
      <c r="F24">
        <v>2.9967000000000001</v>
      </c>
      <c r="G24">
        <v>4.4249999999999998</v>
      </c>
      <c r="H24">
        <v>2.351</v>
      </c>
      <c r="I24">
        <v>0.105</v>
      </c>
      <c r="J24">
        <v>4.3491999999999997</v>
      </c>
      <c r="K24" s="2">
        <v>4.5960000000000001</v>
      </c>
      <c r="L24">
        <v>3.7930000000000001</v>
      </c>
      <c r="M24">
        <v>1.444</v>
      </c>
      <c r="N24">
        <v>13.24</v>
      </c>
      <c r="O24">
        <v>363.6</v>
      </c>
      <c r="P24">
        <v>81.819999999999993</v>
      </c>
      <c r="Q24">
        <v>104.7672</v>
      </c>
      <c r="R24">
        <v>2.72</v>
      </c>
      <c r="S24">
        <v>49.13</v>
      </c>
      <c r="T24">
        <v>45.51</v>
      </c>
      <c r="U24">
        <v>274.89999999999998</v>
      </c>
      <c r="V24">
        <v>364.55</v>
      </c>
      <c r="W24">
        <v>1127.3399999999999</v>
      </c>
      <c r="X24">
        <v>517.95000000000005</v>
      </c>
      <c r="Y24">
        <v>25128.33</v>
      </c>
      <c r="Z24" t="s">
        <v>103</v>
      </c>
      <c r="AA24" t="s">
        <v>103</v>
      </c>
      <c r="AB24" t="s">
        <v>103</v>
      </c>
      <c r="AC24">
        <v>17.843499999999999</v>
      </c>
      <c r="AD24">
        <v>17.803999999999998</v>
      </c>
      <c r="AE24">
        <v>17.850000000000001</v>
      </c>
      <c r="AF24">
        <v>17.2</v>
      </c>
      <c r="AG24">
        <v>1.3279000000000001</v>
      </c>
      <c r="AH24">
        <v>103.07</v>
      </c>
      <c r="AI24">
        <v>1.9095</v>
      </c>
      <c r="AJ24">
        <v>1.1874</v>
      </c>
      <c r="AK24">
        <v>6.7263000000000002</v>
      </c>
      <c r="AL24">
        <v>1.1413</v>
      </c>
      <c r="AM24">
        <v>130.55000000000001</v>
      </c>
      <c r="AN24">
        <v>106.97</v>
      </c>
      <c r="AO24">
        <v>102.06</v>
      </c>
      <c r="AP24">
        <v>76.989999999999995</v>
      </c>
      <c r="AQ24">
        <v>76.92</v>
      </c>
    </row>
    <row r="25" spans="1:43" x14ac:dyDescent="0.25">
      <c r="A25" s="1">
        <v>38352</v>
      </c>
      <c r="B25">
        <v>2.2117</v>
      </c>
      <c r="C25" t="s">
        <v>103</v>
      </c>
      <c r="D25">
        <v>2.11</v>
      </c>
      <c r="E25">
        <v>2E-3</v>
      </c>
      <c r="F25">
        <v>3.0651000000000002</v>
      </c>
      <c r="G25">
        <v>4.4370000000000003</v>
      </c>
      <c r="H25">
        <v>2.4809999999999999</v>
      </c>
      <c r="I25">
        <v>0.105</v>
      </c>
      <c r="J25">
        <v>4.2182000000000004</v>
      </c>
      <c r="K25" s="2">
        <v>4.5369999999999999</v>
      </c>
      <c r="L25">
        <v>3.6829999999999998</v>
      </c>
      <c r="M25">
        <v>1.431</v>
      </c>
      <c r="N25">
        <v>13.29</v>
      </c>
      <c r="O25">
        <v>304.5</v>
      </c>
      <c r="P25">
        <v>80.849999999999994</v>
      </c>
      <c r="Q25">
        <v>103.4911</v>
      </c>
      <c r="R25">
        <v>2.6560000000000001</v>
      </c>
      <c r="S25">
        <v>43.45</v>
      </c>
      <c r="T25">
        <v>40.46</v>
      </c>
      <c r="U25">
        <v>255.97</v>
      </c>
      <c r="V25">
        <v>357.69</v>
      </c>
      <c r="W25">
        <v>1169.3399999999999</v>
      </c>
      <c r="X25">
        <v>542.16999999999996</v>
      </c>
      <c r="Y25">
        <v>26196.25</v>
      </c>
      <c r="Z25" t="s">
        <v>103</v>
      </c>
      <c r="AA25" t="s">
        <v>103</v>
      </c>
      <c r="AB25" t="s">
        <v>103</v>
      </c>
      <c r="AC25">
        <v>16.532599999999999</v>
      </c>
      <c r="AD25">
        <v>17.002500000000001</v>
      </c>
      <c r="AE25">
        <v>17.824200000000001</v>
      </c>
      <c r="AF25">
        <v>17.760000000000002</v>
      </c>
      <c r="AG25">
        <v>1.3553999999999999</v>
      </c>
      <c r="AH25">
        <v>102.63</v>
      </c>
      <c r="AI25">
        <v>1.9181999999999999</v>
      </c>
      <c r="AJ25">
        <v>1.2019</v>
      </c>
      <c r="AK25">
        <v>6.6558999999999999</v>
      </c>
      <c r="AL25">
        <v>1.1404000000000001</v>
      </c>
      <c r="AM25">
        <v>119.57</v>
      </c>
      <c r="AN25">
        <v>98.73</v>
      </c>
      <c r="AO25">
        <v>102.76</v>
      </c>
      <c r="AP25">
        <v>76.400000000000006</v>
      </c>
      <c r="AQ25">
        <v>75.5</v>
      </c>
    </row>
    <row r="26" spans="1:43" x14ac:dyDescent="0.25">
      <c r="A26" s="1">
        <v>38383</v>
      </c>
      <c r="B26">
        <v>2.4575999999999998</v>
      </c>
      <c r="C26" t="s">
        <v>103</v>
      </c>
      <c r="D26">
        <v>2.1459999999999999</v>
      </c>
      <c r="E26">
        <v>2E-3</v>
      </c>
      <c r="F26">
        <v>3.2715999999999998</v>
      </c>
      <c r="G26">
        <v>4.5149999999999997</v>
      </c>
      <c r="H26">
        <v>2.3980000000000001</v>
      </c>
      <c r="I26">
        <v>0.09</v>
      </c>
      <c r="J26">
        <v>4.1280000000000001</v>
      </c>
      <c r="K26" s="2">
        <v>4.6059999999999999</v>
      </c>
      <c r="L26">
        <v>3.5470000000000002</v>
      </c>
      <c r="M26">
        <v>1.32</v>
      </c>
      <c r="N26">
        <v>12.82</v>
      </c>
      <c r="O26">
        <v>362.33300000000003</v>
      </c>
      <c r="P26">
        <v>83.57</v>
      </c>
      <c r="Q26">
        <v>103.36360000000001</v>
      </c>
      <c r="R26">
        <v>2.6088</v>
      </c>
      <c r="S26">
        <v>48.2</v>
      </c>
      <c r="T26">
        <v>45.92</v>
      </c>
      <c r="U26">
        <v>247.96</v>
      </c>
      <c r="V26">
        <v>361.45</v>
      </c>
      <c r="W26">
        <v>1142.3499999999999</v>
      </c>
      <c r="X26">
        <v>542.28</v>
      </c>
      <c r="Y26">
        <v>24350.62</v>
      </c>
      <c r="Z26" t="s">
        <v>103</v>
      </c>
      <c r="AA26" t="s">
        <v>103</v>
      </c>
      <c r="AB26" t="s">
        <v>103</v>
      </c>
      <c r="AC26">
        <v>17.1066</v>
      </c>
      <c r="AD26">
        <v>17.749700000000001</v>
      </c>
      <c r="AE26">
        <v>18.838899999999999</v>
      </c>
      <c r="AF26">
        <v>18.25</v>
      </c>
      <c r="AG26">
        <v>1.3039000000000001</v>
      </c>
      <c r="AH26">
        <v>103.7</v>
      </c>
      <c r="AI26">
        <v>1.8829</v>
      </c>
      <c r="AJ26">
        <v>1.2398</v>
      </c>
      <c r="AK26">
        <v>6.9890999999999996</v>
      </c>
      <c r="AL26">
        <v>1.1889000000000001</v>
      </c>
      <c r="AM26">
        <v>109</v>
      </c>
      <c r="AN26">
        <v>94.44</v>
      </c>
      <c r="AO26">
        <v>103.24</v>
      </c>
      <c r="AP26">
        <v>76.91</v>
      </c>
      <c r="AQ26">
        <v>72.66</v>
      </c>
    </row>
    <row r="27" spans="1:43" x14ac:dyDescent="0.25">
      <c r="A27" s="1">
        <v>38411</v>
      </c>
      <c r="B27">
        <v>2.7450000000000001</v>
      </c>
      <c r="C27" t="s">
        <v>103</v>
      </c>
      <c r="D27">
        <v>2.1640000000000001</v>
      </c>
      <c r="E27">
        <v>2E-3</v>
      </c>
      <c r="F27">
        <v>3.5958000000000001</v>
      </c>
      <c r="G27">
        <v>4.7699999999999996</v>
      </c>
      <c r="H27">
        <v>2.4910000000000001</v>
      </c>
      <c r="I27">
        <v>0.129</v>
      </c>
      <c r="J27">
        <v>4.3765999999999998</v>
      </c>
      <c r="K27" s="2">
        <v>4.7359999999999998</v>
      </c>
      <c r="L27">
        <v>3.7149999999999999</v>
      </c>
      <c r="M27">
        <v>1.4650000000000001</v>
      </c>
      <c r="N27">
        <v>12.08</v>
      </c>
      <c r="O27">
        <v>318.875</v>
      </c>
      <c r="P27">
        <v>82.51</v>
      </c>
      <c r="Q27">
        <v>102.6534</v>
      </c>
      <c r="R27">
        <v>2.5874999999999999</v>
      </c>
      <c r="S27">
        <v>51.75</v>
      </c>
      <c r="T27">
        <v>50.06</v>
      </c>
      <c r="U27">
        <v>253.45</v>
      </c>
      <c r="V27">
        <v>373.49</v>
      </c>
      <c r="W27">
        <v>1176.7</v>
      </c>
      <c r="X27">
        <v>588.67999999999995</v>
      </c>
      <c r="Y27">
        <v>28139.13</v>
      </c>
      <c r="Z27" t="s">
        <v>103</v>
      </c>
      <c r="AA27" t="s">
        <v>103</v>
      </c>
      <c r="AB27" t="s">
        <v>103</v>
      </c>
      <c r="AC27">
        <v>16.701499999999999</v>
      </c>
      <c r="AD27">
        <v>17.384799999999998</v>
      </c>
      <c r="AE27">
        <v>18.481999999999999</v>
      </c>
      <c r="AF27">
        <v>18.68</v>
      </c>
      <c r="AG27">
        <v>1.3228</v>
      </c>
      <c r="AH27">
        <v>104.63</v>
      </c>
      <c r="AI27">
        <v>1.9211</v>
      </c>
      <c r="AJ27">
        <v>1.2339</v>
      </c>
      <c r="AK27">
        <v>6.8506999999999998</v>
      </c>
      <c r="AL27">
        <v>1.1631</v>
      </c>
      <c r="AM27">
        <v>103.46</v>
      </c>
      <c r="AN27">
        <v>89.02</v>
      </c>
      <c r="AO27">
        <v>101.82</v>
      </c>
      <c r="AP27">
        <v>77.39</v>
      </c>
      <c r="AQ27">
        <v>73</v>
      </c>
    </row>
    <row r="28" spans="1:43" x14ac:dyDescent="0.25">
      <c r="A28" s="1">
        <v>38442</v>
      </c>
      <c r="B28">
        <v>2.7664</v>
      </c>
      <c r="C28" t="s">
        <v>103</v>
      </c>
      <c r="D28">
        <v>2.145</v>
      </c>
      <c r="E28">
        <v>4.0000000000000001E-3</v>
      </c>
      <c r="F28">
        <v>3.7745000000000002</v>
      </c>
      <c r="G28">
        <v>4.6769999999999996</v>
      </c>
      <c r="H28">
        <v>2.492</v>
      </c>
      <c r="I28">
        <v>0.1</v>
      </c>
      <c r="J28">
        <v>4.4814999999999996</v>
      </c>
      <c r="K28" s="2">
        <v>4.6989999999999998</v>
      </c>
      <c r="L28">
        <v>3.6219999999999999</v>
      </c>
      <c r="M28">
        <v>1.32</v>
      </c>
      <c r="N28">
        <v>14.02</v>
      </c>
      <c r="O28">
        <v>433.2</v>
      </c>
      <c r="P28">
        <v>84.06</v>
      </c>
      <c r="Q28">
        <v>102.7923</v>
      </c>
      <c r="R28">
        <v>2.6789999999999998</v>
      </c>
      <c r="S28">
        <v>55.4</v>
      </c>
      <c r="T28">
        <v>54.29</v>
      </c>
      <c r="U28">
        <v>251.68</v>
      </c>
      <c r="V28">
        <v>369.95</v>
      </c>
      <c r="W28">
        <v>1151.18</v>
      </c>
      <c r="X28">
        <v>548.69000000000005</v>
      </c>
      <c r="Y28">
        <v>26610.65</v>
      </c>
      <c r="Z28" t="s">
        <v>103</v>
      </c>
      <c r="AA28" t="s">
        <v>103</v>
      </c>
      <c r="AB28" t="s">
        <v>103</v>
      </c>
      <c r="AC28">
        <v>17.828299999999999</v>
      </c>
      <c r="AD28">
        <v>18.294899999999998</v>
      </c>
      <c r="AE28">
        <v>19.184799999999999</v>
      </c>
      <c r="AF28">
        <v>19.21</v>
      </c>
      <c r="AG28">
        <v>1.2964</v>
      </c>
      <c r="AH28">
        <v>107.15</v>
      </c>
      <c r="AI28">
        <v>1.8905000000000001</v>
      </c>
      <c r="AJ28">
        <v>1.2103999999999999</v>
      </c>
      <c r="AK28">
        <v>7.0747</v>
      </c>
      <c r="AL28">
        <v>1.1964999999999999</v>
      </c>
      <c r="AM28">
        <v>127.93</v>
      </c>
      <c r="AN28">
        <v>102.6</v>
      </c>
      <c r="AO28">
        <v>102.83</v>
      </c>
      <c r="AP28">
        <v>77.47</v>
      </c>
      <c r="AQ28">
        <v>81.02</v>
      </c>
    </row>
    <row r="29" spans="1:43" x14ac:dyDescent="0.25">
      <c r="A29" s="1">
        <v>38471</v>
      </c>
      <c r="B29">
        <v>2.8891</v>
      </c>
      <c r="C29" t="s">
        <v>103</v>
      </c>
      <c r="D29">
        <v>2.1349999999999998</v>
      </c>
      <c r="E29">
        <v>1E-3</v>
      </c>
      <c r="F29">
        <v>3.6495000000000002</v>
      </c>
      <c r="G29">
        <v>4.5179999999999998</v>
      </c>
      <c r="H29">
        <v>2.2480000000000002</v>
      </c>
      <c r="I29">
        <v>0.08</v>
      </c>
      <c r="J29">
        <v>4.1976000000000004</v>
      </c>
      <c r="K29" s="2">
        <v>4.5309999999999997</v>
      </c>
      <c r="L29">
        <v>3.3959999999999999</v>
      </c>
      <c r="M29">
        <v>1.2350000000000001</v>
      </c>
      <c r="N29">
        <v>15.31</v>
      </c>
      <c r="O29">
        <v>413.16699999999997</v>
      </c>
      <c r="P29">
        <v>84.43</v>
      </c>
      <c r="Q29">
        <v>102.7478</v>
      </c>
      <c r="R29">
        <v>2.528</v>
      </c>
      <c r="S29">
        <v>49.72</v>
      </c>
      <c r="T29">
        <v>51.09</v>
      </c>
      <c r="U29">
        <v>256.87</v>
      </c>
      <c r="V29">
        <v>370.19</v>
      </c>
      <c r="W29">
        <v>1123.6400000000001</v>
      </c>
      <c r="X29">
        <v>531.99</v>
      </c>
      <c r="Y29">
        <v>24843.7</v>
      </c>
      <c r="Z29" t="s">
        <v>103</v>
      </c>
      <c r="AA29" t="s">
        <v>103</v>
      </c>
      <c r="AB29" t="s">
        <v>103</v>
      </c>
      <c r="AC29">
        <v>17.443100000000001</v>
      </c>
      <c r="AD29">
        <v>18.0609</v>
      </c>
      <c r="AE29">
        <v>19.129300000000001</v>
      </c>
      <c r="AF29">
        <v>19.46</v>
      </c>
      <c r="AG29">
        <v>1.2873000000000001</v>
      </c>
      <c r="AH29">
        <v>104.75</v>
      </c>
      <c r="AI29">
        <v>1.9088000000000001</v>
      </c>
      <c r="AJ29">
        <v>1.2583</v>
      </c>
      <c r="AK29">
        <v>7.1359000000000004</v>
      </c>
      <c r="AL29">
        <v>1.1951000000000001</v>
      </c>
      <c r="AM29">
        <v>120.77</v>
      </c>
      <c r="AN29">
        <v>101.36</v>
      </c>
      <c r="AO29">
        <v>102.87</v>
      </c>
      <c r="AP29">
        <v>77.98</v>
      </c>
      <c r="AQ29">
        <v>78.86</v>
      </c>
    </row>
    <row r="30" spans="1:43" x14ac:dyDescent="0.25">
      <c r="A30" s="1">
        <v>38503</v>
      </c>
      <c r="B30">
        <v>2.9398</v>
      </c>
      <c r="C30" t="s">
        <v>103</v>
      </c>
      <c r="D30">
        <v>2.1360000000000001</v>
      </c>
      <c r="E30">
        <v>2E-3</v>
      </c>
      <c r="F30">
        <v>3.5735999999999999</v>
      </c>
      <c r="G30">
        <v>4.2480000000000002</v>
      </c>
      <c r="H30">
        <v>2.141</v>
      </c>
      <c r="I30">
        <v>0.08</v>
      </c>
      <c r="J30">
        <v>3.9809999999999999</v>
      </c>
      <c r="K30" s="2">
        <v>4.3150000000000004</v>
      </c>
      <c r="L30">
        <v>3.274</v>
      </c>
      <c r="M30">
        <v>1.2390000000000001</v>
      </c>
      <c r="N30">
        <v>13.29</v>
      </c>
      <c r="O30">
        <v>336.72300000000001</v>
      </c>
      <c r="P30">
        <v>87.76</v>
      </c>
      <c r="Q30">
        <v>102.0865</v>
      </c>
      <c r="R30">
        <v>2.4076</v>
      </c>
      <c r="S30">
        <v>51.97</v>
      </c>
      <c r="T30">
        <v>50.73</v>
      </c>
      <c r="U30">
        <v>253.48</v>
      </c>
      <c r="V30">
        <v>366.09</v>
      </c>
      <c r="W30">
        <v>1140.68</v>
      </c>
      <c r="X30">
        <v>548.15</v>
      </c>
      <c r="Y30">
        <v>25207.07</v>
      </c>
      <c r="Z30" t="s">
        <v>103</v>
      </c>
      <c r="AA30" t="s">
        <v>103</v>
      </c>
      <c r="AB30" t="s">
        <v>103</v>
      </c>
      <c r="AC30">
        <v>17.014700000000001</v>
      </c>
      <c r="AD30">
        <v>17.5654</v>
      </c>
      <c r="AE30">
        <v>18.633099999999999</v>
      </c>
      <c r="AF30">
        <v>19.77</v>
      </c>
      <c r="AG30">
        <v>1.2303999999999999</v>
      </c>
      <c r="AH30">
        <v>108.57</v>
      </c>
      <c r="AI30">
        <v>1.8170999999999999</v>
      </c>
      <c r="AJ30">
        <v>1.2548999999999999</v>
      </c>
      <c r="AK30">
        <v>7.4398999999999997</v>
      </c>
      <c r="AL30">
        <v>1.2483</v>
      </c>
      <c r="AM30">
        <v>130.33000000000001</v>
      </c>
      <c r="AN30">
        <v>106.16</v>
      </c>
      <c r="AO30">
        <v>106.4</v>
      </c>
      <c r="AP30">
        <v>77.930000000000007</v>
      </c>
      <c r="AQ30">
        <v>77.81</v>
      </c>
    </row>
    <row r="31" spans="1:43" x14ac:dyDescent="0.25">
      <c r="A31" s="1">
        <v>38533</v>
      </c>
      <c r="B31">
        <v>3.1160999999999999</v>
      </c>
      <c r="C31" t="s">
        <v>103</v>
      </c>
      <c r="D31">
        <v>2.117</v>
      </c>
      <c r="E31">
        <v>1E-3</v>
      </c>
      <c r="F31">
        <v>3.6331000000000002</v>
      </c>
      <c r="G31">
        <v>4.0650000000000004</v>
      </c>
      <c r="H31">
        <v>2.0230000000000001</v>
      </c>
      <c r="I31">
        <v>7.0000000000000007E-2</v>
      </c>
      <c r="J31">
        <v>3.9129999999999998</v>
      </c>
      <c r="K31" s="2">
        <v>4.173</v>
      </c>
      <c r="L31">
        <v>3.1339999999999999</v>
      </c>
      <c r="M31">
        <v>1.1639999999999999</v>
      </c>
      <c r="N31">
        <v>12.04</v>
      </c>
      <c r="O31">
        <v>325.99</v>
      </c>
      <c r="P31">
        <v>89.09</v>
      </c>
      <c r="Q31">
        <v>102.02509999999999</v>
      </c>
      <c r="R31">
        <v>2.3325</v>
      </c>
      <c r="S31">
        <v>56.5</v>
      </c>
      <c r="T31">
        <v>55.58</v>
      </c>
      <c r="U31">
        <v>249.67</v>
      </c>
      <c r="V31">
        <v>361.42</v>
      </c>
      <c r="W31">
        <v>1148.81</v>
      </c>
      <c r="X31">
        <v>565.16999999999996</v>
      </c>
      <c r="Y31">
        <v>25051.21</v>
      </c>
      <c r="Z31" t="s">
        <v>103</v>
      </c>
      <c r="AA31" t="s">
        <v>103</v>
      </c>
      <c r="AB31" t="s">
        <v>103</v>
      </c>
      <c r="AC31">
        <v>16.491599999999998</v>
      </c>
      <c r="AD31">
        <v>17.151599999999998</v>
      </c>
      <c r="AE31">
        <v>18.12</v>
      </c>
      <c r="AF31">
        <v>19.739999999999998</v>
      </c>
      <c r="AG31">
        <v>1.2108000000000001</v>
      </c>
      <c r="AH31">
        <v>110.92</v>
      </c>
      <c r="AI31">
        <v>1.7915000000000001</v>
      </c>
      <c r="AJ31">
        <v>1.2251000000000001</v>
      </c>
      <c r="AK31">
        <v>7.8102</v>
      </c>
      <c r="AL31">
        <v>1.2814000000000001</v>
      </c>
      <c r="AM31">
        <v>135.07</v>
      </c>
      <c r="AN31">
        <v>106.5</v>
      </c>
      <c r="AO31">
        <v>104.19</v>
      </c>
      <c r="AP31">
        <v>77.510000000000005</v>
      </c>
      <c r="AQ31">
        <v>78.260000000000005</v>
      </c>
    </row>
    <row r="32" spans="1:43" x14ac:dyDescent="0.25">
      <c r="A32" s="1">
        <v>38562</v>
      </c>
      <c r="B32">
        <v>3.3933</v>
      </c>
      <c r="C32" t="s">
        <v>103</v>
      </c>
      <c r="D32">
        <v>2.1320000000000001</v>
      </c>
      <c r="E32">
        <v>1E-3</v>
      </c>
      <c r="F32">
        <v>4.0147000000000004</v>
      </c>
      <c r="G32">
        <v>4.17</v>
      </c>
      <c r="H32">
        <v>2.25</v>
      </c>
      <c r="I32">
        <v>0.11</v>
      </c>
      <c r="J32">
        <v>4.2759999999999998</v>
      </c>
      <c r="K32" s="2">
        <v>4.3150000000000004</v>
      </c>
      <c r="L32">
        <v>3.2429999999999999</v>
      </c>
      <c r="M32">
        <v>1.3029999999999999</v>
      </c>
      <c r="N32">
        <v>11.57</v>
      </c>
      <c r="O32">
        <v>329.82299999999998</v>
      </c>
      <c r="P32">
        <v>89.35</v>
      </c>
      <c r="Q32">
        <v>101.8389</v>
      </c>
      <c r="R32">
        <v>2.3786999999999998</v>
      </c>
      <c r="S32">
        <v>60.57</v>
      </c>
      <c r="T32">
        <v>59.37</v>
      </c>
      <c r="U32">
        <v>249.84</v>
      </c>
      <c r="V32">
        <v>365.45</v>
      </c>
      <c r="W32">
        <v>1188.17</v>
      </c>
      <c r="X32">
        <v>602.55999999999995</v>
      </c>
      <c r="Y32">
        <v>26042.36</v>
      </c>
      <c r="Z32" t="s">
        <v>103</v>
      </c>
      <c r="AA32" t="s">
        <v>103</v>
      </c>
      <c r="AB32" t="s">
        <v>103</v>
      </c>
      <c r="AC32">
        <v>17.080100000000002</v>
      </c>
      <c r="AD32">
        <v>17.526900000000001</v>
      </c>
      <c r="AE32">
        <v>18.312899999999999</v>
      </c>
      <c r="AF32">
        <v>19.68</v>
      </c>
      <c r="AG32">
        <v>1.2122999999999999</v>
      </c>
      <c r="AH32">
        <v>112.5</v>
      </c>
      <c r="AI32">
        <v>1.7579</v>
      </c>
      <c r="AJ32">
        <v>1.2233000000000001</v>
      </c>
      <c r="AK32">
        <v>7.7674000000000003</v>
      </c>
      <c r="AL32">
        <v>1.2894000000000001</v>
      </c>
      <c r="AM32">
        <v>123.8</v>
      </c>
      <c r="AN32">
        <v>105.47</v>
      </c>
      <c r="AO32">
        <v>103.57</v>
      </c>
      <c r="AP32">
        <v>77.47</v>
      </c>
      <c r="AQ32">
        <v>79.42</v>
      </c>
    </row>
    <row r="33" spans="1:43" x14ac:dyDescent="0.25">
      <c r="A33" s="1">
        <v>38595</v>
      </c>
      <c r="B33">
        <v>3.4977</v>
      </c>
      <c r="C33" t="s">
        <v>103</v>
      </c>
      <c r="D33">
        <v>2.1389999999999998</v>
      </c>
      <c r="E33">
        <v>2E-3</v>
      </c>
      <c r="F33">
        <v>3.8113999999999999</v>
      </c>
      <c r="G33">
        <v>4.1079999999999997</v>
      </c>
      <c r="H33">
        <v>2.1989999999999998</v>
      </c>
      <c r="I33">
        <v>0.13500000000000001</v>
      </c>
      <c r="J33">
        <v>4.0137</v>
      </c>
      <c r="K33" s="2">
        <v>4.1589999999999998</v>
      </c>
      <c r="L33">
        <v>3.1019999999999999</v>
      </c>
      <c r="M33">
        <v>1.339</v>
      </c>
      <c r="N33">
        <v>12.6</v>
      </c>
      <c r="O33">
        <v>339.61</v>
      </c>
      <c r="P33">
        <v>87.58</v>
      </c>
      <c r="Q33">
        <v>101.17019999999999</v>
      </c>
      <c r="R33">
        <v>2.3570000000000002</v>
      </c>
      <c r="S33">
        <v>68.94</v>
      </c>
      <c r="T33">
        <v>67.02</v>
      </c>
      <c r="U33">
        <v>247.35</v>
      </c>
      <c r="V33">
        <v>365.69</v>
      </c>
      <c r="W33">
        <v>1194.81</v>
      </c>
      <c r="X33">
        <v>606.23</v>
      </c>
      <c r="Y33">
        <v>28044.83</v>
      </c>
      <c r="Z33" t="s">
        <v>103</v>
      </c>
      <c r="AA33" t="s">
        <v>103</v>
      </c>
      <c r="AB33" t="s">
        <v>103</v>
      </c>
      <c r="AC33">
        <v>17.052</v>
      </c>
      <c r="AD33">
        <v>17.7088</v>
      </c>
      <c r="AE33">
        <v>18.313700000000001</v>
      </c>
      <c r="AF33">
        <v>19.71</v>
      </c>
      <c r="AG33">
        <v>1.2345999999999999</v>
      </c>
      <c r="AH33">
        <v>110.61</v>
      </c>
      <c r="AI33">
        <v>1.8041</v>
      </c>
      <c r="AJ33">
        <v>1.1878</v>
      </c>
      <c r="AK33">
        <v>7.5544000000000002</v>
      </c>
      <c r="AL33">
        <v>1.2529999999999999</v>
      </c>
      <c r="AM33">
        <v>137.19</v>
      </c>
      <c r="AN33">
        <v>111.39</v>
      </c>
      <c r="AO33">
        <v>103.69</v>
      </c>
      <c r="AP33">
        <v>78.05</v>
      </c>
      <c r="AQ33">
        <v>80.83</v>
      </c>
    </row>
    <row r="34" spans="1:43" x14ac:dyDescent="0.25">
      <c r="A34" s="1">
        <v>38625</v>
      </c>
      <c r="B34">
        <v>3.5375999999999999</v>
      </c>
      <c r="C34" t="s">
        <v>103</v>
      </c>
      <c r="D34">
        <v>2.177</v>
      </c>
      <c r="E34">
        <v>1E-3</v>
      </c>
      <c r="F34">
        <v>4.1649000000000003</v>
      </c>
      <c r="G34">
        <v>4.1929999999999996</v>
      </c>
      <c r="H34">
        <v>2.3940000000000001</v>
      </c>
      <c r="I34">
        <v>0.22500000000000001</v>
      </c>
      <c r="J34">
        <v>4.3239999999999998</v>
      </c>
      <c r="K34" s="2">
        <v>4.2869999999999999</v>
      </c>
      <c r="L34">
        <v>3.1480000000000001</v>
      </c>
      <c r="M34">
        <v>1.474</v>
      </c>
      <c r="N34">
        <v>11.92</v>
      </c>
      <c r="O34">
        <v>244.25700000000001</v>
      </c>
      <c r="P34">
        <v>89.52</v>
      </c>
      <c r="Q34">
        <v>101.58580000000001</v>
      </c>
      <c r="R34">
        <v>2.2275</v>
      </c>
      <c r="S34">
        <v>66.239999999999995</v>
      </c>
      <c r="T34">
        <v>63.48</v>
      </c>
      <c r="U34">
        <v>251.27</v>
      </c>
      <c r="V34">
        <v>366.01</v>
      </c>
      <c r="W34">
        <v>1224.31</v>
      </c>
      <c r="X34">
        <v>661.32</v>
      </c>
      <c r="Y34">
        <v>31583.79</v>
      </c>
      <c r="Z34" t="s">
        <v>103</v>
      </c>
      <c r="AA34" t="s">
        <v>103</v>
      </c>
      <c r="AB34" t="s">
        <v>103</v>
      </c>
      <c r="AC34">
        <v>16.326000000000001</v>
      </c>
      <c r="AD34">
        <v>16.900600000000001</v>
      </c>
      <c r="AE34">
        <v>17.894500000000001</v>
      </c>
      <c r="AF34">
        <v>19.510000000000002</v>
      </c>
      <c r="AG34">
        <v>1.2025999999999999</v>
      </c>
      <c r="AH34">
        <v>113.51</v>
      </c>
      <c r="AI34">
        <v>1.7643</v>
      </c>
      <c r="AJ34">
        <v>1.163</v>
      </c>
      <c r="AK34">
        <v>7.7447999999999997</v>
      </c>
      <c r="AL34">
        <v>1.2939000000000001</v>
      </c>
      <c r="AM34">
        <v>136.03</v>
      </c>
      <c r="AN34">
        <v>107.23</v>
      </c>
      <c r="AO34">
        <v>102.96</v>
      </c>
      <c r="AP34">
        <v>77.86</v>
      </c>
      <c r="AQ34">
        <v>77.88</v>
      </c>
    </row>
    <row r="35" spans="1:43" x14ac:dyDescent="0.25">
      <c r="A35" s="1">
        <v>38656</v>
      </c>
      <c r="B35">
        <v>3.8776999999999999</v>
      </c>
      <c r="C35" t="s">
        <v>103</v>
      </c>
      <c r="D35">
        <v>2.2330000000000001</v>
      </c>
      <c r="E35">
        <v>1E-3</v>
      </c>
      <c r="F35">
        <v>4.3738000000000001</v>
      </c>
      <c r="G35">
        <v>4.3230000000000004</v>
      </c>
      <c r="H35">
        <v>2.629</v>
      </c>
      <c r="I35">
        <v>0.28100000000000003</v>
      </c>
      <c r="J35">
        <v>4.5506000000000002</v>
      </c>
      <c r="K35" s="2">
        <v>4.335</v>
      </c>
      <c r="L35">
        <v>3.391</v>
      </c>
      <c r="M35">
        <v>1.544</v>
      </c>
      <c r="N35">
        <v>15.32</v>
      </c>
      <c r="O35">
        <v>277.79300000000001</v>
      </c>
      <c r="P35">
        <v>90.07</v>
      </c>
      <c r="Q35">
        <v>101.9683</v>
      </c>
      <c r="R35">
        <v>2.2517999999999998</v>
      </c>
      <c r="S35">
        <v>59.76</v>
      </c>
      <c r="T35">
        <v>58.1</v>
      </c>
      <c r="U35">
        <v>255.14</v>
      </c>
      <c r="V35">
        <v>368.52</v>
      </c>
      <c r="W35">
        <v>1193.8800000000001</v>
      </c>
      <c r="X35">
        <v>617.41</v>
      </c>
      <c r="Y35">
        <v>30193.51</v>
      </c>
      <c r="Z35" t="s">
        <v>103</v>
      </c>
      <c r="AA35" t="s">
        <v>103</v>
      </c>
      <c r="AB35" t="s">
        <v>103</v>
      </c>
      <c r="AC35">
        <v>16.656700000000001</v>
      </c>
      <c r="AD35">
        <v>17.2258</v>
      </c>
      <c r="AE35">
        <v>17.596</v>
      </c>
      <c r="AF35">
        <v>18.920000000000002</v>
      </c>
      <c r="AG35">
        <v>1.1992</v>
      </c>
      <c r="AH35">
        <v>116.4</v>
      </c>
      <c r="AI35">
        <v>1.77</v>
      </c>
      <c r="AJ35">
        <v>1.1821999999999999</v>
      </c>
      <c r="AK35">
        <v>7.9602000000000004</v>
      </c>
      <c r="AL35">
        <v>1.2886</v>
      </c>
      <c r="AM35">
        <v>132</v>
      </c>
      <c r="AN35">
        <v>109.22</v>
      </c>
      <c r="AO35">
        <v>102.55</v>
      </c>
      <c r="AP35">
        <v>77.989999999999995</v>
      </c>
      <c r="AQ35">
        <v>78.14</v>
      </c>
    </row>
    <row r="36" spans="1:43" x14ac:dyDescent="0.25">
      <c r="A36" s="1">
        <v>38686</v>
      </c>
      <c r="B36">
        <v>3.9315000000000002</v>
      </c>
      <c r="C36" t="s">
        <v>103</v>
      </c>
      <c r="D36">
        <v>2.3959999999999999</v>
      </c>
      <c r="E36">
        <v>1E-3</v>
      </c>
      <c r="F36">
        <v>4.4067999999999996</v>
      </c>
      <c r="G36">
        <v>4.3079999999999998</v>
      </c>
      <c r="H36">
        <v>2.76</v>
      </c>
      <c r="I36">
        <v>0.22</v>
      </c>
      <c r="J36">
        <v>4.484</v>
      </c>
      <c r="K36">
        <v>4.2309999999999999</v>
      </c>
      <c r="L36">
        <v>3.4550000000000001</v>
      </c>
      <c r="M36">
        <v>1.43</v>
      </c>
      <c r="N36">
        <v>12.06</v>
      </c>
      <c r="O36">
        <v>252.5</v>
      </c>
      <c r="P36">
        <v>91.57</v>
      </c>
      <c r="Q36">
        <v>101.5385</v>
      </c>
      <c r="R36">
        <v>2.2035</v>
      </c>
      <c r="S36">
        <v>57.32</v>
      </c>
      <c r="T36">
        <v>55.05</v>
      </c>
      <c r="U36">
        <v>246.58</v>
      </c>
      <c r="V36">
        <v>372.1</v>
      </c>
      <c r="W36">
        <v>1231.4100000000001</v>
      </c>
      <c r="X36">
        <v>667.99</v>
      </c>
      <c r="Y36">
        <v>31916.76</v>
      </c>
      <c r="Z36" t="s">
        <v>103</v>
      </c>
      <c r="AA36" t="s">
        <v>103</v>
      </c>
      <c r="AB36" t="s">
        <v>103</v>
      </c>
      <c r="AC36">
        <v>16.322399999999998</v>
      </c>
      <c r="AD36">
        <v>16.444299999999998</v>
      </c>
      <c r="AE36">
        <v>16.742899999999999</v>
      </c>
      <c r="AF36">
        <v>18.43</v>
      </c>
      <c r="AG36">
        <v>1.1788000000000001</v>
      </c>
      <c r="AH36">
        <v>119.81</v>
      </c>
      <c r="AI36">
        <v>1.7293000000000001</v>
      </c>
      <c r="AJ36">
        <v>1.1657</v>
      </c>
      <c r="AK36">
        <v>8.0780999999999992</v>
      </c>
      <c r="AL36">
        <v>1.3151999999999999</v>
      </c>
      <c r="AM36">
        <v>136.27000000000001</v>
      </c>
      <c r="AN36">
        <v>107.69</v>
      </c>
      <c r="AO36">
        <v>103.45</v>
      </c>
      <c r="AP36">
        <v>78.52</v>
      </c>
      <c r="AQ36">
        <v>78.430000000000007</v>
      </c>
    </row>
    <row r="37" spans="1:43" x14ac:dyDescent="0.25">
      <c r="A37" s="1">
        <v>38716</v>
      </c>
      <c r="B37">
        <v>4.0739999999999998</v>
      </c>
      <c r="C37" t="s">
        <v>103</v>
      </c>
      <c r="D37">
        <v>2.4460000000000002</v>
      </c>
      <c r="E37">
        <v>0.01</v>
      </c>
      <c r="F37">
        <v>4.3996000000000004</v>
      </c>
      <c r="G37">
        <v>4.1909999999999998</v>
      </c>
      <c r="H37">
        <v>2.8620000000000001</v>
      </c>
      <c r="I37">
        <v>0.28199999999999997</v>
      </c>
      <c r="J37">
        <v>4.3910999999999998</v>
      </c>
      <c r="K37">
        <v>4.0999999999999996</v>
      </c>
      <c r="L37">
        <v>3.3090000000000002</v>
      </c>
      <c r="M37">
        <v>1.47</v>
      </c>
      <c r="N37">
        <v>12.07</v>
      </c>
      <c r="O37">
        <v>225.071</v>
      </c>
      <c r="P37">
        <v>91.17</v>
      </c>
      <c r="Q37">
        <v>101.1417</v>
      </c>
      <c r="R37">
        <v>2.3355000000000001</v>
      </c>
      <c r="S37">
        <v>61.04</v>
      </c>
      <c r="T37">
        <v>58.98</v>
      </c>
      <c r="U37">
        <v>241.73</v>
      </c>
      <c r="V37">
        <v>439.15</v>
      </c>
      <c r="W37">
        <v>1257.78</v>
      </c>
      <c r="X37">
        <v>706.48</v>
      </c>
      <c r="Y37">
        <v>33455.94</v>
      </c>
      <c r="Z37" t="s">
        <v>103</v>
      </c>
      <c r="AA37" t="s">
        <v>103</v>
      </c>
      <c r="AB37" t="s">
        <v>103</v>
      </c>
      <c r="AC37">
        <v>15.447100000000001</v>
      </c>
      <c r="AD37">
        <v>15.7178</v>
      </c>
      <c r="AE37">
        <v>16.3858</v>
      </c>
      <c r="AF37">
        <v>17.989999999999998</v>
      </c>
      <c r="AG37">
        <v>1.1849000000000001</v>
      </c>
      <c r="AH37">
        <v>117.75</v>
      </c>
      <c r="AI37">
        <v>1.7230000000000001</v>
      </c>
      <c r="AJ37">
        <v>1.1619999999999999</v>
      </c>
      <c r="AK37">
        <v>7.9386000000000001</v>
      </c>
      <c r="AL37">
        <v>1.3133999999999999</v>
      </c>
      <c r="AM37">
        <v>128.02000000000001</v>
      </c>
      <c r="AN37">
        <v>100.94</v>
      </c>
      <c r="AO37">
        <v>105.2</v>
      </c>
      <c r="AP37">
        <v>79.11</v>
      </c>
      <c r="AQ37">
        <v>78.09</v>
      </c>
    </row>
    <row r="38" spans="1:43" x14ac:dyDescent="0.25">
      <c r="A38" s="1">
        <v>38748</v>
      </c>
      <c r="B38">
        <v>4.46</v>
      </c>
      <c r="C38" t="s">
        <v>103</v>
      </c>
      <c r="D38">
        <v>2.516</v>
      </c>
      <c r="E38">
        <v>4.0000000000000001E-3</v>
      </c>
      <c r="F38">
        <v>4.5155000000000003</v>
      </c>
      <c r="G38">
        <v>4.3170000000000002</v>
      </c>
      <c r="H38">
        <v>2.9550000000000001</v>
      </c>
      <c r="I38">
        <v>0.28899999999999998</v>
      </c>
      <c r="J38">
        <v>4.5152000000000001</v>
      </c>
      <c r="K38">
        <v>4.1500000000000004</v>
      </c>
      <c r="L38">
        <v>3.4670000000000001</v>
      </c>
      <c r="M38">
        <v>1.56</v>
      </c>
      <c r="N38">
        <v>12.95</v>
      </c>
      <c r="O38">
        <v>178.012</v>
      </c>
      <c r="P38">
        <v>88.96</v>
      </c>
      <c r="Q38">
        <v>100</v>
      </c>
      <c r="R38">
        <v>2.2120000000000002</v>
      </c>
      <c r="S38">
        <v>67.92</v>
      </c>
      <c r="T38">
        <v>65.989999999999995</v>
      </c>
      <c r="U38">
        <v>242.68</v>
      </c>
      <c r="V38">
        <v>481.68</v>
      </c>
      <c r="W38">
        <v>1313.21</v>
      </c>
      <c r="X38">
        <v>783.77</v>
      </c>
      <c r="Y38">
        <v>38382.800000000003</v>
      </c>
      <c r="Z38" t="s">
        <v>103</v>
      </c>
      <c r="AA38" t="s">
        <v>103</v>
      </c>
      <c r="AB38" t="s">
        <v>103</v>
      </c>
      <c r="AC38">
        <v>14.964700000000001</v>
      </c>
      <c r="AD38">
        <v>15.2598</v>
      </c>
      <c r="AE38">
        <v>15.8241</v>
      </c>
      <c r="AF38">
        <v>17.100000000000001</v>
      </c>
      <c r="AG38">
        <v>1.2156</v>
      </c>
      <c r="AH38">
        <v>117.2</v>
      </c>
      <c r="AI38">
        <v>1.7793000000000001</v>
      </c>
      <c r="AJ38">
        <v>1.139</v>
      </c>
      <c r="AK38">
        <v>7.5891000000000002</v>
      </c>
      <c r="AL38">
        <v>1.2779</v>
      </c>
      <c r="AM38">
        <v>116.17</v>
      </c>
      <c r="AN38">
        <v>97.48</v>
      </c>
      <c r="AO38">
        <v>105.6</v>
      </c>
      <c r="AP38">
        <v>79.75</v>
      </c>
      <c r="AQ38">
        <v>76.19</v>
      </c>
    </row>
    <row r="39" spans="1:43" x14ac:dyDescent="0.25">
      <c r="A39" s="1">
        <v>38776</v>
      </c>
      <c r="B39">
        <v>4.6155999999999997</v>
      </c>
      <c r="C39" t="s">
        <v>103</v>
      </c>
      <c r="D39">
        <v>2.5720000000000001</v>
      </c>
      <c r="E39">
        <v>4.5999999999999999E-2</v>
      </c>
      <c r="F39">
        <v>4.6745999999999999</v>
      </c>
      <c r="G39">
        <v>4.3369999999999997</v>
      </c>
      <c r="H39">
        <v>3.0209999999999999</v>
      </c>
      <c r="I39">
        <v>0.46500000000000002</v>
      </c>
      <c r="J39">
        <v>4.5510000000000002</v>
      </c>
      <c r="K39">
        <v>4.1900000000000004</v>
      </c>
      <c r="L39">
        <v>3.4889999999999999</v>
      </c>
      <c r="M39">
        <v>1.585</v>
      </c>
      <c r="N39">
        <v>12.34</v>
      </c>
      <c r="O39">
        <v>112.98699999999999</v>
      </c>
      <c r="P39">
        <v>90.11</v>
      </c>
      <c r="Q39">
        <v>99.467299999999994</v>
      </c>
      <c r="R39">
        <v>2.1234999999999999</v>
      </c>
      <c r="S39">
        <v>61.41</v>
      </c>
      <c r="T39">
        <v>61.76</v>
      </c>
      <c r="U39">
        <v>241.94</v>
      </c>
      <c r="V39">
        <v>492.67</v>
      </c>
      <c r="W39">
        <v>1309.45</v>
      </c>
      <c r="X39">
        <v>782.11</v>
      </c>
      <c r="Y39">
        <v>38610.39</v>
      </c>
      <c r="Z39" t="s">
        <v>103</v>
      </c>
      <c r="AA39" t="s">
        <v>103</v>
      </c>
      <c r="AB39" t="s">
        <v>103</v>
      </c>
      <c r="AC39">
        <v>14.124499999999999</v>
      </c>
      <c r="AD39">
        <v>14.538</v>
      </c>
      <c r="AE39">
        <v>15.2082</v>
      </c>
      <c r="AF39">
        <v>17.29</v>
      </c>
      <c r="AG39">
        <v>1.1920999999999999</v>
      </c>
      <c r="AH39">
        <v>115.77</v>
      </c>
      <c r="AI39">
        <v>1.7536</v>
      </c>
      <c r="AJ39">
        <v>1.1369</v>
      </c>
      <c r="AK39">
        <v>7.9119000000000002</v>
      </c>
      <c r="AL39">
        <v>1.3117000000000001</v>
      </c>
      <c r="AM39">
        <v>114.7</v>
      </c>
      <c r="AN39">
        <v>93.47</v>
      </c>
      <c r="AO39">
        <v>106.43</v>
      </c>
      <c r="AP39">
        <v>79.83</v>
      </c>
      <c r="AQ39">
        <v>75.66</v>
      </c>
    </row>
    <row r="40" spans="1:43" x14ac:dyDescent="0.25">
      <c r="A40" s="1">
        <v>38807</v>
      </c>
      <c r="B40">
        <v>4.6022999999999996</v>
      </c>
      <c r="C40" t="s">
        <v>103</v>
      </c>
      <c r="D40">
        <v>2.702</v>
      </c>
      <c r="E40">
        <v>0.08</v>
      </c>
      <c r="F40">
        <v>4.8160999999999996</v>
      </c>
      <c r="G40">
        <v>4.4619999999999997</v>
      </c>
      <c r="H40">
        <v>3.29</v>
      </c>
      <c r="I40">
        <v>0.68</v>
      </c>
      <c r="J40">
        <v>4.8472</v>
      </c>
      <c r="K40">
        <v>4.3979999999999997</v>
      </c>
      <c r="L40">
        <v>3.7709999999999999</v>
      </c>
      <c r="M40">
        <v>1.77</v>
      </c>
      <c r="N40">
        <v>11.39</v>
      </c>
      <c r="O40">
        <v>147.63399999999999</v>
      </c>
      <c r="P40">
        <v>89.73</v>
      </c>
      <c r="Q40">
        <v>100.0048</v>
      </c>
      <c r="R40">
        <v>2.1640000000000001</v>
      </c>
      <c r="S40">
        <v>66.63</v>
      </c>
      <c r="T40">
        <v>65.91</v>
      </c>
      <c r="U40">
        <v>241.3</v>
      </c>
      <c r="V40">
        <v>527.52</v>
      </c>
      <c r="W40">
        <v>1335.07</v>
      </c>
      <c r="X40">
        <v>787.8</v>
      </c>
      <c r="Y40">
        <v>37951.97</v>
      </c>
      <c r="Z40" t="s">
        <v>103</v>
      </c>
      <c r="AA40" t="s">
        <v>103</v>
      </c>
      <c r="AB40" t="s">
        <v>103</v>
      </c>
      <c r="AC40">
        <v>14.552300000000001</v>
      </c>
      <c r="AD40">
        <v>14.646800000000001</v>
      </c>
      <c r="AE40">
        <v>14.815799999999999</v>
      </c>
      <c r="AF40">
        <v>16.510000000000002</v>
      </c>
      <c r="AG40">
        <v>1.2118</v>
      </c>
      <c r="AH40">
        <v>117.78</v>
      </c>
      <c r="AI40">
        <v>1.7372000000000001</v>
      </c>
      <c r="AJ40">
        <v>1.1686000000000001</v>
      </c>
      <c r="AK40">
        <v>7.7953000000000001</v>
      </c>
      <c r="AL40">
        <v>1.3042</v>
      </c>
      <c r="AM40">
        <v>140.82</v>
      </c>
      <c r="AN40">
        <v>107.67</v>
      </c>
      <c r="AO40">
        <v>105.85</v>
      </c>
      <c r="AP40">
        <v>79.67</v>
      </c>
      <c r="AQ40">
        <v>83.59</v>
      </c>
    </row>
    <row r="41" spans="1:43" x14ac:dyDescent="0.25">
      <c r="A41" s="1">
        <v>38835</v>
      </c>
      <c r="B41">
        <v>4.7577999999999996</v>
      </c>
      <c r="C41" t="s">
        <v>103</v>
      </c>
      <c r="D41">
        <v>2.6880000000000002</v>
      </c>
      <c r="E41">
        <v>4.9000000000000002E-2</v>
      </c>
      <c r="F41">
        <v>4.8582999999999998</v>
      </c>
      <c r="G41">
        <v>4.6210000000000004</v>
      </c>
      <c r="H41">
        <v>3.379</v>
      </c>
      <c r="I41">
        <v>0.66500000000000004</v>
      </c>
      <c r="J41">
        <v>5.0505000000000004</v>
      </c>
      <c r="K41">
        <v>4.6349999999999998</v>
      </c>
      <c r="L41">
        <v>3.9510000000000001</v>
      </c>
      <c r="M41">
        <v>1.92</v>
      </c>
      <c r="N41">
        <v>11.59</v>
      </c>
      <c r="O41">
        <v>124.322</v>
      </c>
      <c r="P41">
        <v>86.11</v>
      </c>
      <c r="Q41">
        <v>100.1765</v>
      </c>
      <c r="R41">
        <v>2.0870000000000002</v>
      </c>
      <c r="S41">
        <v>71.88</v>
      </c>
      <c r="T41">
        <v>72.5</v>
      </c>
      <c r="U41">
        <v>250</v>
      </c>
      <c r="V41">
        <v>598.20000000000005</v>
      </c>
      <c r="W41">
        <v>1373.38</v>
      </c>
      <c r="X41">
        <v>841.58</v>
      </c>
      <c r="Y41">
        <v>40363.42</v>
      </c>
      <c r="Z41" t="s">
        <v>103</v>
      </c>
      <c r="AA41" t="s">
        <v>103</v>
      </c>
      <c r="AB41" t="s">
        <v>103</v>
      </c>
      <c r="AC41">
        <v>14.528</v>
      </c>
      <c r="AD41">
        <v>14.6808</v>
      </c>
      <c r="AE41">
        <v>14.6821</v>
      </c>
      <c r="AF41">
        <v>15.7</v>
      </c>
      <c r="AG41">
        <v>1.2635000000000001</v>
      </c>
      <c r="AH41">
        <v>113.83</v>
      </c>
      <c r="AI41">
        <v>1.8259000000000001</v>
      </c>
      <c r="AJ41">
        <v>1.117</v>
      </c>
      <c r="AK41">
        <v>7.3472</v>
      </c>
      <c r="AL41">
        <v>1.2387999999999999</v>
      </c>
      <c r="AM41">
        <v>120.47</v>
      </c>
      <c r="AN41">
        <v>99.83</v>
      </c>
      <c r="AO41">
        <v>106.33</v>
      </c>
      <c r="AP41">
        <v>80.180000000000007</v>
      </c>
      <c r="AQ41">
        <v>79.040000000000006</v>
      </c>
    </row>
    <row r="42" spans="1:43" x14ac:dyDescent="0.25">
      <c r="A42" s="1">
        <v>38868</v>
      </c>
      <c r="B42">
        <v>4.8330000000000002</v>
      </c>
      <c r="C42" t="s">
        <v>103</v>
      </c>
      <c r="D42">
        <v>2.8</v>
      </c>
      <c r="E42">
        <v>0.29799999999999999</v>
      </c>
      <c r="F42">
        <v>5.0330000000000004</v>
      </c>
      <c r="G42">
        <v>4.6980000000000004</v>
      </c>
      <c r="H42">
        <v>3.355</v>
      </c>
      <c r="I42">
        <v>0.83</v>
      </c>
      <c r="J42">
        <v>5.1185999999999998</v>
      </c>
      <c r="K42">
        <v>4.5910000000000002</v>
      </c>
      <c r="L42">
        <v>3.9820000000000002</v>
      </c>
      <c r="M42">
        <v>1.83</v>
      </c>
      <c r="N42">
        <v>16.440000000000001</v>
      </c>
      <c r="O42">
        <v>189.827</v>
      </c>
      <c r="P42">
        <v>84.72</v>
      </c>
      <c r="Q42">
        <v>100.0994</v>
      </c>
      <c r="R42">
        <v>2.3069999999999999</v>
      </c>
      <c r="S42">
        <v>71.290000000000006</v>
      </c>
      <c r="T42">
        <v>70.41</v>
      </c>
      <c r="U42">
        <v>249.23</v>
      </c>
      <c r="V42">
        <v>640.48</v>
      </c>
      <c r="W42">
        <v>1322.25</v>
      </c>
      <c r="X42">
        <v>751</v>
      </c>
      <c r="Y42">
        <v>36530.04</v>
      </c>
      <c r="Z42" t="s">
        <v>103</v>
      </c>
      <c r="AA42" t="s">
        <v>103</v>
      </c>
      <c r="AB42" t="s">
        <v>103</v>
      </c>
      <c r="AC42">
        <v>16.227499999999999</v>
      </c>
      <c r="AD42">
        <v>16.111799999999999</v>
      </c>
      <c r="AE42">
        <v>15.5032</v>
      </c>
      <c r="AF42">
        <v>15.65</v>
      </c>
      <c r="AG42">
        <v>1.2809999999999999</v>
      </c>
      <c r="AH42">
        <v>112.64</v>
      </c>
      <c r="AI42">
        <v>1.8697999999999999</v>
      </c>
      <c r="AJ42">
        <v>1.1015999999999999</v>
      </c>
      <c r="AK42">
        <v>7.2328000000000001</v>
      </c>
      <c r="AL42">
        <v>1.2192000000000001</v>
      </c>
      <c r="AM42">
        <v>138.34</v>
      </c>
      <c r="AN42">
        <v>111.11</v>
      </c>
      <c r="AO42">
        <v>107.11</v>
      </c>
      <c r="AP42">
        <v>81.2</v>
      </c>
      <c r="AQ42">
        <v>82.26</v>
      </c>
    </row>
    <row r="43" spans="1:43" x14ac:dyDescent="0.25">
      <c r="A43" s="1">
        <v>38898</v>
      </c>
      <c r="B43">
        <v>4.9756999999999998</v>
      </c>
      <c r="C43" t="s">
        <v>103</v>
      </c>
      <c r="D43">
        <v>2.9580000000000002</v>
      </c>
      <c r="E43">
        <v>0.33</v>
      </c>
      <c r="F43">
        <v>5.1497999999999999</v>
      </c>
      <c r="G43">
        <v>4.7709999999999999</v>
      </c>
      <c r="H43">
        <v>3.5739999999999998</v>
      </c>
      <c r="I43">
        <v>0.84</v>
      </c>
      <c r="J43">
        <v>5.1364000000000001</v>
      </c>
      <c r="K43">
        <v>4.71</v>
      </c>
      <c r="L43">
        <v>4.0709999999999997</v>
      </c>
      <c r="M43">
        <v>1.92</v>
      </c>
      <c r="N43">
        <v>13.08</v>
      </c>
      <c r="O43">
        <v>171.46899999999999</v>
      </c>
      <c r="P43">
        <v>85.16</v>
      </c>
      <c r="Q43">
        <v>101.51739999999999</v>
      </c>
      <c r="R43">
        <v>2.165</v>
      </c>
      <c r="S43">
        <v>73.930000000000007</v>
      </c>
      <c r="T43">
        <v>73.510000000000005</v>
      </c>
      <c r="U43">
        <v>261.89</v>
      </c>
      <c r="V43">
        <v>627.15</v>
      </c>
      <c r="W43">
        <v>1319.93</v>
      </c>
      <c r="X43">
        <v>747.54</v>
      </c>
      <c r="Y43">
        <v>36630.660000000003</v>
      </c>
      <c r="Z43" t="s">
        <v>103</v>
      </c>
      <c r="AA43" t="s">
        <v>103</v>
      </c>
      <c r="AB43" t="s">
        <v>103</v>
      </c>
      <c r="AC43">
        <v>15.416700000000001</v>
      </c>
      <c r="AD43">
        <v>15.3142</v>
      </c>
      <c r="AE43">
        <v>14.7974</v>
      </c>
      <c r="AF43">
        <v>15.18</v>
      </c>
      <c r="AG43">
        <v>1.2790999999999999</v>
      </c>
      <c r="AH43">
        <v>114.44</v>
      </c>
      <c r="AI43">
        <v>1.8483000000000001</v>
      </c>
      <c r="AJ43">
        <v>1.117</v>
      </c>
      <c r="AK43">
        <v>7.1966000000000001</v>
      </c>
      <c r="AL43">
        <v>1.2231000000000001</v>
      </c>
      <c r="AM43">
        <v>132.36000000000001</v>
      </c>
      <c r="AN43">
        <v>106.16</v>
      </c>
      <c r="AO43">
        <v>105.72</v>
      </c>
      <c r="AP43">
        <v>80.349999999999994</v>
      </c>
      <c r="AQ43">
        <v>80.3</v>
      </c>
    </row>
    <row r="44" spans="1:43" x14ac:dyDescent="0.25">
      <c r="A44" s="1">
        <v>38929</v>
      </c>
      <c r="B44">
        <v>5.0683999999999996</v>
      </c>
      <c r="C44" t="s">
        <v>103</v>
      </c>
      <c r="D44">
        <v>3.06</v>
      </c>
      <c r="E44">
        <v>0.35899999999999999</v>
      </c>
      <c r="F44">
        <v>4.95</v>
      </c>
      <c r="G44">
        <v>4.7309999999999999</v>
      </c>
      <c r="H44">
        <v>3.512</v>
      </c>
      <c r="I44">
        <v>0.82399999999999995</v>
      </c>
      <c r="J44">
        <v>4.9794</v>
      </c>
      <c r="K44">
        <v>4.6050000000000004</v>
      </c>
      <c r="L44">
        <v>3.9209999999999998</v>
      </c>
      <c r="M44">
        <v>1.919</v>
      </c>
      <c r="N44">
        <v>14.95</v>
      </c>
      <c r="O44">
        <v>138.06100000000001</v>
      </c>
      <c r="P44">
        <v>85.3</v>
      </c>
      <c r="Q44">
        <v>100.28830000000001</v>
      </c>
      <c r="R44">
        <v>2.177</v>
      </c>
      <c r="S44">
        <v>74.400000000000006</v>
      </c>
      <c r="T44">
        <v>75.150000000000006</v>
      </c>
      <c r="U44">
        <v>260.26</v>
      </c>
      <c r="V44">
        <v>623.16</v>
      </c>
      <c r="W44">
        <v>1327.23</v>
      </c>
      <c r="X44">
        <v>755.84</v>
      </c>
      <c r="Y44">
        <v>37077.120000000003</v>
      </c>
      <c r="Z44" t="s">
        <v>103</v>
      </c>
      <c r="AA44" t="s">
        <v>103</v>
      </c>
      <c r="AB44" t="s">
        <v>103</v>
      </c>
      <c r="AC44">
        <v>14.8027</v>
      </c>
      <c r="AD44">
        <v>14.737</v>
      </c>
      <c r="AE44">
        <v>14.484999999999999</v>
      </c>
      <c r="AF44">
        <v>14.63</v>
      </c>
      <c r="AG44">
        <v>1.2766999999999999</v>
      </c>
      <c r="AH44">
        <v>114.68</v>
      </c>
      <c r="AI44">
        <v>1.8676999999999999</v>
      </c>
      <c r="AJ44">
        <v>1.1313</v>
      </c>
      <c r="AK44">
        <v>7.2098000000000004</v>
      </c>
      <c r="AL44">
        <v>1.2312000000000001</v>
      </c>
      <c r="AM44">
        <v>134.34</v>
      </c>
      <c r="AN44">
        <v>109.26</v>
      </c>
      <c r="AO44">
        <v>106.57</v>
      </c>
      <c r="AP44">
        <v>81.790000000000006</v>
      </c>
      <c r="AQ44">
        <v>83.81</v>
      </c>
    </row>
    <row r="45" spans="1:43" x14ac:dyDescent="0.25">
      <c r="A45" s="1">
        <v>38960</v>
      </c>
      <c r="B45">
        <v>5.0297000000000001</v>
      </c>
      <c r="C45" t="s">
        <v>103</v>
      </c>
      <c r="D45">
        <v>3.1840000000000002</v>
      </c>
      <c r="E45">
        <v>0.35199999999999998</v>
      </c>
      <c r="F45">
        <v>4.7754000000000003</v>
      </c>
      <c r="G45">
        <v>4.8760000000000003</v>
      </c>
      <c r="H45">
        <v>3.5219999999999998</v>
      </c>
      <c r="I45">
        <v>0.64</v>
      </c>
      <c r="J45">
        <v>4.7257999999999996</v>
      </c>
      <c r="K45">
        <v>4.516</v>
      </c>
      <c r="L45">
        <v>3.76</v>
      </c>
      <c r="M45">
        <v>1.62</v>
      </c>
      <c r="N45">
        <v>12.31</v>
      </c>
      <c r="O45">
        <v>123</v>
      </c>
      <c r="P45">
        <v>85.05</v>
      </c>
      <c r="Q45">
        <v>99.8185</v>
      </c>
      <c r="R45">
        <v>2.145</v>
      </c>
      <c r="S45">
        <v>70.260000000000005</v>
      </c>
      <c r="T45">
        <v>70.25</v>
      </c>
      <c r="U45">
        <v>272.61</v>
      </c>
      <c r="V45">
        <v>616.9</v>
      </c>
      <c r="W45">
        <v>1358.87</v>
      </c>
      <c r="X45">
        <v>773.12</v>
      </c>
      <c r="Y45">
        <v>36232.22</v>
      </c>
      <c r="Z45" t="s">
        <v>103</v>
      </c>
      <c r="AA45" t="s">
        <v>103</v>
      </c>
      <c r="AB45" t="s">
        <v>103</v>
      </c>
      <c r="AC45">
        <v>14.7387</v>
      </c>
      <c r="AD45">
        <v>14.125400000000001</v>
      </c>
      <c r="AE45">
        <v>13.953099999999999</v>
      </c>
      <c r="AF45">
        <v>14.11</v>
      </c>
      <c r="AG45">
        <v>1.2813000000000001</v>
      </c>
      <c r="AH45">
        <v>117.4</v>
      </c>
      <c r="AI45">
        <v>1.9047000000000001</v>
      </c>
      <c r="AJ45">
        <v>1.1036999999999999</v>
      </c>
      <c r="AK45">
        <v>7.2450999999999999</v>
      </c>
      <c r="AL45">
        <v>1.2304999999999999</v>
      </c>
      <c r="AM45">
        <v>146.5</v>
      </c>
      <c r="AN45">
        <v>114.86</v>
      </c>
      <c r="AO45">
        <v>106.4</v>
      </c>
      <c r="AP45">
        <v>81.8</v>
      </c>
      <c r="AQ45">
        <v>84.97</v>
      </c>
    </row>
    <row r="46" spans="1:43" x14ac:dyDescent="0.25">
      <c r="A46" s="1">
        <v>38989</v>
      </c>
      <c r="B46">
        <v>4.8719000000000001</v>
      </c>
      <c r="C46" t="s">
        <v>103</v>
      </c>
      <c r="D46">
        <v>3.3039999999999998</v>
      </c>
      <c r="E46">
        <v>0.33500000000000002</v>
      </c>
      <c r="F46">
        <v>4.6829000000000001</v>
      </c>
      <c r="G46">
        <v>4.915</v>
      </c>
      <c r="H46">
        <v>3.585</v>
      </c>
      <c r="I46">
        <v>0.65</v>
      </c>
      <c r="J46">
        <v>4.6276000000000002</v>
      </c>
      <c r="K46">
        <v>4.5229999999999997</v>
      </c>
      <c r="L46">
        <v>3.7090000000000001</v>
      </c>
      <c r="M46">
        <v>1.665</v>
      </c>
      <c r="N46">
        <v>11.98</v>
      </c>
      <c r="O46">
        <v>134.43799999999999</v>
      </c>
      <c r="P46">
        <v>86.03</v>
      </c>
      <c r="Q46">
        <v>99.867900000000006</v>
      </c>
      <c r="R46">
        <v>2.169</v>
      </c>
      <c r="S46">
        <v>62.91</v>
      </c>
      <c r="T46">
        <v>62.48</v>
      </c>
      <c r="U46">
        <v>267.98</v>
      </c>
      <c r="V46">
        <v>636.97</v>
      </c>
      <c r="W46">
        <v>1373.37</v>
      </c>
      <c r="X46">
        <v>778.16</v>
      </c>
      <c r="Y46">
        <v>36449.4</v>
      </c>
      <c r="Z46" t="s">
        <v>103</v>
      </c>
      <c r="AA46" t="s">
        <v>103</v>
      </c>
      <c r="AB46" t="s">
        <v>103</v>
      </c>
      <c r="AC46">
        <v>13.957800000000001</v>
      </c>
      <c r="AD46">
        <v>13.812099999999999</v>
      </c>
      <c r="AE46">
        <v>13.5616</v>
      </c>
      <c r="AF46">
        <v>14.18</v>
      </c>
      <c r="AG46">
        <v>1.2674000000000001</v>
      </c>
      <c r="AH46">
        <v>118.18</v>
      </c>
      <c r="AI46">
        <v>1.8721000000000001</v>
      </c>
      <c r="AJ46">
        <v>1.1180000000000001</v>
      </c>
      <c r="AK46">
        <v>7.3329000000000004</v>
      </c>
      <c r="AL46">
        <v>1.2505999999999999</v>
      </c>
      <c r="AM46">
        <v>136.41</v>
      </c>
      <c r="AN46">
        <v>108.66</v>
      </c>
      <c r="AO46">
        <v>105.19</v>
      </c>
      <c r="AP46">
        <v>81.97</v>
      </c>
      <c r="AQ46">
        <v>81.569999999999993</v>
      </c>
    </row>
    <row r="47" spans="1:43" x14ac:dyDescent="0.25">
      <c r="A47" s="1">
        <v>39021</v>
      </c>
      <c r="B47">
        <v>5.0727000000000002</v>
      </c>
      <c r="C47" t="s">
        <v>103</v>
      </c>
      <c r="D47">
        <v>3.3769999999999998</v>
      </c>
      <c r="E47">
        <v>0.36599999999999999</v>
      </c>
      <c r="F47">
        <v>4.6925999999999997</v>
      </c>
      <c r="G47">
        <v>5.032</v>
      </c>
      <c r="H47">
        <v>3.6779999999999999</v>
      </c>
      <c r="I47">
        <v>0.72499999999999998</v>
      </c>
      <c r="J47">
        <v>4.5980999999999996</v>
      </c>
      <c r="K47">
        <v>4.5110000000000001</v>
      </c>
      <c r="L47">
        <v>3.7410000000000001</v>
      </c>
      <c r="M47">
        <v>1.71</v>
      </c>
      <c r="N47">
        <v>11.1</v>
      </c>
      <c r="O47">
        <v>113.47799999999999</v>
      </c>
      <c r="P47">
        <v>85.32</v>
      </c>
      <c r="Q47">
        <v>99.404300000000006</v>
      </c>
      <c r="R47">
        <v>2.1417999999999999</v>
      </c>
      <c r="S47">
        <v>58.73</v>
      </c>
      <c r="T47">
        <v>59.03</v>
      </c>
      <c r="U47">
        <v>265.89999999999998</v>
      </c>
      <c r="V47">
        <v>692</v>
      </c>
      <c r="W47">
        <v>1422.93</v>
      </c>
      <c r="X47">
        <v>814.44</v>
      </c>
      <c r="Y47">
        <v>39262.79</v>
      </c>
      <c r="Z47" t="s">
        <v>103</v>
      </c>
      <c r="AA47" t="s">
        <v>103</v>
      </c>
      <c r="AB47" t="s">
        <v>103</v>
      </c>
      <c r="AC47">
        <v>13.263400000000001</v>
      </c>
      <c r="AD47">
        <v>13.186</v>
      </c>
      <c r="AE47">
        <v>13.01</v>
      </c>
      <c r="AF47">
        <v>13.65</v>
      </c>
      <c r="AG47">
        <v>1.2762</v>
      </c>
      <c r="AH47">
        <v>116.98</v>
      </c>
      <c r="AI47">
        <v>1.9074</v>
      </c>
      <c r="AJ47">
        <v>1.1222000000000001</v>
      </c>
      <c r="AK47">
        <v>7.2233000000000001</v>
      </c>
      <c r="AL47">
        <v>1.2442</v>
      </c>
      <c r="AM47">
        <v>144.54</v>
      </c>
      <c r="AN47">
        <v>113.57</v>
      </c>
      <c r="AO47">
        <v>106.23</v>
      </c>
      <c r="AP47">
        <v>82.91</v>
      </c>
      <c r="AQ47">
        <v>83.76</v>
      </c>
    </row>
    <row r="48" spans="1:43" x14ac:dyDescent="0.25">
      <c r="A48" s="1">
        <v>39051</v>
      </c>
      <c r="B48">
        <v>5.0193000000000003</v>
      </c>
      <c r="C48" t="s">
        <v>103</v>
      </c>
      <c r="D48">
        <v>3.5609999999999999</v>
      </c>
      <c r="E48">
        <v>0.44700000000000001</v>
      </c>
      <c r="F48">
        <v>4.6083999999999996</v>
      </c>
      <c r="G48">
        <v>5.0330000000000004</v>
      </c>
      <c r="H48">
        <v>3.6579999999999999</v>
      </c>
      <c r="I48">
        <v>0.81100000000000005</v>
      </c>
      <c r="J48">
        <v>4.4581</v>
      </c>
      <c r="K48">
        <v>4.5129999999999999</v>
      </c>
      <c r="L48">
        <v>3.6949999999999998</v>
      </c>
      <c r="M48">
        <v>1.645</v>
      </c>
      <c r="N48">
        <v>10.91</v>
      </c>
      <c r="O48">
        <v>110.133</v>
      </c>
      <c r="P48">
        <v>82.95</v>
      </c>
      <c r="Q48">
        <v>98.887100000000004</v>
      </c>
      <c r="R48">
        <v>2.1648999999999998</v>
      </c>
      <c r="S48">
        <v>63.13</v>
      </c>
      <c r="T48">
        <v>64.260000000000005</v>
      </c>
      <c r="U48">
        <v>276.91000000000003</v>
      </c>
      <c r="V48">
        <v>688.75</v>
      </c>
      <c r="W48">
        <v>1455.17</v>
      </c>
      <c r="X48">
        <v>874.08</v>
      </c>
      <c r="Y48">
        <v>41931.839999999997</v>
      </c>
      <c r="Z48" t="s">
        <v>103</v>
      </c>
      <c r="AA48" t="s">
        <v>103</v>
      </c>
      <c r="AB48" t="s">
        <v>103</v>
      </c>
      <c r="AC48">
        <v>13.099600000000001</v>
      </c>
      <c r="AD48">
        <v>12.918200000000001</v>
      </c>
      <c r="AE48">
        <v>12.7476</v>
      </c>
      <c r="AF48">
        <v>13.13</v>
      </c>
      <c r="AG48">
        <v>1.3242</v>
      </c>
      <c r="AH48">
        <v>115.81</v>
      </c>
      <c r="AI48">
        <v>1.9659</v>
      </c>
      <c r="AJ48">
        <v>1.1403000000000001</v>
      </c>
      <c r="AK48">
        <v>6.8479999999999999</v>
      </c>
      <c r="AL48">
        <v>1.1978</v>
      </c>
      <c r="AM48">
        <v>146.80000000000001</v>
      </c>
      <c r="AN48">
        <v>111.7</v>
      </c>
      <c r="AO48">
        <v>107.55</v>
      </c>
      <c r="AP48">
        <v>83.46</v>
      </c>
      <c r="AQ48">
        <v>83.3</v>
      </c>
    </row>
    <row r="49" spans="1:43" x14ac:dyDescent="0.25">
      <c r="A49" s="1">
        <v>39080</v>
      </c>
      <c r="B49">
        <v>5.0061</v>
      </c>
      <c r="C49" t="s">
        <v>103</v>
      </c>
      <c r="D49">
        <v>3.6080000000000001</v>
      </c>
      <c r="E49">
        <v>0.47199999999999998</v>
      </c>
      <c r="F49">
        <v>4.8079999999999998</v>
      </c>
      <c r="G49">
        <v>5.2060000000000004</v>
      </c>
      <c r="H49">
        <v>3.903</v>
      </c>
      <c r="I49">
        <v>0.80500000000000005</v>
      </c>
      <c r="J49">
        <v>4.7022000000000004</v>
      </c>
      <c r="K49">
        <v>4.7409999999999997</v>
      </c>
      <c r="L49">
        <v>3.948</v>
      </c>
      <c r="M49">
        <v>1.6850000000000001</v>
      </c>
      <c r="N49">
        <v>11.56</v>
      </c>
      <c r="O49">
        <v>99.582999999999998</v>
      </c>
      <c r="P49">
        <v>83.65</v>
      </c>
      <c r="Q49">
        <v>98.119600000000005</v>
      </c>
      <c r="R49">
        <v>2.1364000000000001</v>
      </c>
      <c r="S49">
        <v>61.05</v>
      </c>
      <c r="T49">
        <v>60.86</v>
      </c>
      <c r="U49">
        <v>275.99</v>
      </c>
      <c r="V49">
        <v>693.88</v>
      </c>
      <c r="W49">
        <v>1483.58</v>
      </c>
      <c r="X49">
        <v>912.65</v>
      </c>
      <c r="Y49">
        <v>44473.71</v>
      </c>
      <c r="Z49" t="s">
        <v>103</v>
      </c>
      <c r="AA49" t="s">
        <v>103</v>
      </c>
      <c r="AB49" t="s">
        <v>103</v>
      </c>
      <c r="AC49">
        <v>12.438499999999999</v>
      </c>
      <c r="AD49">
        <v>12.3095</v>
      </c>
      <c r="AE49">
        <v>12.37</v>
      </c>
      <c r="AF49">
        <v>13.17</v>
      </c>
      <c r="AG49">
        <v>1.3197000000000001</v>
      </c>
      <c r="AH49">
        <v>119.06</v>
      </c>
      <c r="AI49">
        <v>1.9588000000000001</v>
      </c>
      <c r="AJ49">
        <v>1.1657</v>
      </c>
      <c r="AK49">
        <v>6.8484999999999996</v>
      </c>
      <c r="AL49">
        <v>1.2201</v>
      </c>
      <c r="AM49">
        <v>135.77000000000001</v>
      </c>
      <c r="AN49">
        <v>101.35</v>
      </c>
      <c r="AO49">
        <v>108.22</v>
      </c>
      <c r="AP49">
        <v>84.51</v>
      </c>
      <c r="AQ49">
        <v>81.63</v>
      </c>
    </row>
    <row r="50" spans="1:43" x14ac:dyDescent="0.25">
      <c r="A50" s="1">
        <v>39113</v>
      </c>
      <c r="B50">
        <v>5.1031000000000004</v>
      </c>
      <c r="C50" t="s">
        <v>103</v>
      </c>
      <c r="D50">
        <v>3.7120000000000002</v>
      </c>
      <c r="E50">
        <v>0.44700000000000001</v>
      </c>
      <c r="F50">
        <v>4.9165000000000001</v>
      </c>
      <c r="G50">
        <v>5.4779999999999998</v>
      </c>
      <c r="H50">
        <v>3.968</v>
      </c>
      <c r="I50">
        <v>0.70599999999999996</v>
      </c>
      <c r="J50">
        <v>4.8079999999999998</v>
      </c>
      <c r="K50">
        <v>4.976</v>
      </c>
      <c r="L50">
        <v>4.0999999999999996</v>
      </c>
      <c r="M50">
        <v>1.704</v>
      </c>
      <c r="N50">
        <v>10.42</v>
      </c>
      <c r="O50">
        <v>98.213999999999999</v>
      </c>
      <c r="P50">
        <v>84.6</v>
      </c>
      <c r="Q50">
        <v>98.288200000000003</v>
      </c>
      <c r="R50">
        <v>2.1229</v>
      </c>
      <c r="S50">
        <v>58.14</v>
      </c>
      <c r="T50">
        <v>57.4</v>
      </c>
      <c r="U50">
        <v>279.52</v>
      </c>
      <c r="V50">
        <v>677.74</v>
      </c>
      <c r="W50">
        <v>1500.23</v>
      </c>
      <c r="X50">
        <v>901.48</v>
      </c>
      <c r="Y50">
        <v>44641.599999999999</v>
      </c>
      <c r="Z50" t="s">
        <v>103</v>
      </c>
      <c r="AA50" t="s">
        <v>103</v>
      </c>
      <c r="AB50" t="s">
        <v>103</v>
      </c>
      <c r="AC50">
        <v>12.1754</v>
      </c>
      <c r="AD50">
        <v>12.2934</v>
      </c>
      <c r="AE50">
        <v>12.347</v>
      </c>
      <c r="AF50">
        <v>12.91</v>
      </c>
      <c r="AG50">
        <v>1.3031999999999999</v>
      </c>
      <c r="AH50">
        <v>120.7</v>
      </c>
      <c r="AI50">
        <v>1.9655</v>
      </c>
      <c r="AJ50">
        <v>1.1769000000000001</v>
      </c>
      <c r="AK50">
        <v>6.9489999999999998</v>
      </c>
      <c r="AL50">
        <v>1.2441</v>
      </c>
      <c r="AM50">
        <v>136.75</v>
      </c>
      <c r="AN50">
        <v>101.39</v>
      </c>
      <c r="AO50">
        <v>108.05</v>
      </c>
      <c r="AP50">
        <v>84.23</v>
      </c>
      <c r="AQ50">
        <v>80.569999999999993</v>
      </c>
    </row>
    <row r="51" spans="1:43" x14ac:dyDescent="0.25">
      <c r="A51" s="1">
        <v>39141</v>
      </c>
      <c r="B51">
        <v>5.1238999999999999</v>
      </c>
      <c r="C51" t="s">
        <v>103</v>
      </c>
      <c r="D51">
        <v>3.8090000000000002</v>
      </c>
      <c r="E51">
        <v>0.61299999999999999</v>
      </c>
      <c r="F51">
        <v>4.6422999999999996</v>
      </c>
      <c r="G51">
        <v>5.3209999999999997</v>
      </c>
      <c r="H51">
        <v>3.8759999999999999</v>
      </c>
      <c r="I51">
        <v>0.83499999999999996</v>
      </c>
      <c r="J51">
        <v>4.5656999999999996</v>
      </c>
      <c r="K51">
        <v>4.7969999999999997</v>
      </c>
      <c r="L51">
        <v>3.9569999999999999</v>
      </c>
      <c r="M51">
        <v>1.6359999999999999</v>
      </c>
      <c r="N51">
        <v>15.42</v>
      </c>
      <c r="O51">
        <v>94.978999999999999</v>
      </c>
      <c r="P51">
        <v>83.57</v>
      </c>
      <c r="Q51">
        <v>97.999899999999997</v>
      </c>
      <c r="R51">
        <v>2.1204999999999998</v>
      </c>
      <c r="S51">
        <v>61.79</v>
      </c>
      <c r="T51">
        <v>61.89</v>
      </c>
      <c r="U51">
        <v>290.79000000000002</v>
      </c>
      <c r="V51">
        <v>712.36</v>
      </c>
      <c r="W51">
        <v>1490.44</v>
      </c>
      <c r="X51">
        <v>895.54</v>
      </c>
      <c r="Y51">
        <v>43892.31</v>
      </c>
      <c r="Z51" t="s">
        <v>103</v>
      </c>
      <c r="AA51" t="s">
        <v>103</v>
      </c>
      <c r="AB51" t="s">
        <v>103</v>
      </c>
      <c r="AC51">
        <v>11.8491</v>
      </c>
      <c r="AD51">
        <v>11.9533</v>
      </c>
      <c r="AE51">
        <v>12.0847</v>
      </c>
      <c r="AF51">
        <v>12.9</v>
      </c>
      <c r="AG51">
        <v>1.3229</v>
      </c>
      <c r="AH51">
        <v>118.56</v>
      </c>
      <c r="AI51">
        <v>1.9639</v>
      </c>
      <c r="AJ51">
        <v>1.1698999999999999</v>
      </c>
      <c r="AK51">
        <v>6.9949000000000003</v>
      </c>
      <c r="AL51">
        <v>1.2196</v>
      </c>
      <c r="AM51">
        <v>131.25</v>
      </c>
      <c r="AN51">
        <v>96.23</v>
      </c>
      <c r="AO51">
        <v>109.35</v>
      </c>
      <c r="AP51">
        <v>84.46</v>
      </c>
      <c r="AQ51">
        <v>79.540000000000006</v>
      </c>
    </row>
    <row r="52" spans="1:43" x14ac:dyDescent="0.25">
      <c r="A52" s="1">
        <v>39171</v>
      </c>
      <c r="B52">
        <v>5.0275999999999996</v>
      </c>
      <c r="C52" t="s">
        <v>103</v>
      </c>
      <c r="D52">
        <v>3.9009999999999998</v>
      </c>
      <c r="E52">
        <v>0.58499999999999996</v>
      </c>
      <c r="F52">
        <v>4.5743999999999998</v>
      </c>
      <c r="G52">
        <v>5.4390000000000001</v>
      </c>
      <c r="H52">
        <v>4.016</v>
      </c>
      <c r="I52">
        <v>0.82</v>
      </c>
      <c r="J52">
        <v>4.6443000000000003</v>
      </c>
      <c r="K52">
        <v>4.9690000000000003</v>
      </c>
      <c r="L52">
        <v>4.0570000000000004</v>
      </c>
      <c r="M52">
        <v>1.659</v>
      </c>
      <c r="N52">
        <v>14.64</v>
      </c>
      <c r="O52">
        <v>83.299000000000007</v>
      </c>
      <c r="P52">
        <v>82.93</v>
      </c>
      <c r="Q52">
        <v>98.091899999999995</v>
      </c>
      <c r="R52">
        <v>2.0594000000000001</v>
      </c>
      <c r="S52">
        <v>65.87</v>
      </c>
      <c r="T52">
        <v>68.099999999999994</v>
      </c>
      <c r="U52">
        <v>302.64999999999998</v>
      </c>
      <c r="V52">
        <v>773.13</v>
      </c>
      <c r="W52">
        <v>1514.18</v>
      </c>
      <c r="X52">
        <v>929.03</v>
      </c>
      <c r="Y52">
        <v>45804.66</v>
      </c>
      <c r="Z52" t="s">
        <v>103</v>
      </c>
      <c r="AA52" t="s">
        <v>103</v>
      </c>
      <c r="AB52" t="s">
        <v>103</v>
      </c>
      <c r="AC52">
        <v>11.543699999999999</v>
      </c>
      <c r="AD52">
        <v>11.59</v>
      </c>
      <c r="AE52">
        <v>11.836399999999999</v>
      </c>
      <c r="AF52">
        <v>12.66</v>
      </c>
      <c r="AG52">
        <v>1.3353999999999999</v>
      </c>
      <c r="AH52">
        <v>117.83</v>
      </c>
      <c r="AI52">
        <v>1.9678</v>
      </c>
      <c r="AJ52">
        <v>1.1539999999999999</v>
      </c>
      <c r="AK52">
        <v>6.9833999999999996</v>
      </c>
      <c r="AL52">
        <v>1.2155</v>
      </c>
      <c r="AM52">
        <v>158.65</v>
      </c>
      <c r="AN52">
        <v>112.39</v>
      </c>
      <c r="AO52">
        <v>110.8</v>
      </c>
      <c r="AP52">
        <v>83.87</v>
      </c>
      <c r="AQ52">
        <v>87.81</v>
      </c>
    </row>
    <row r="53" spans="1:43" x14ac:dyDescent="0.25">
      <c r="A53" s="1">
        <v>39202</v>
      </c>
      <c r="B53">
        <v>4.8400999999999996</v>
      </c>
      <c r="C53" t="s">
        <v>103</v>
      </c>
      <c r="D53">
        <v>3.9159999999999999</v>
      </c>
      <c r="E53">
        <v>0.60799999999999998</v>
      </c>
      <c r="F53">
        <v>4.5910000000000002</v>
      </c>
      <c r="G53">
        <v>5.5129999999999999</v>
      </c>
      <c r="H53">
        <v>4.1280000000000001</v>
      </c>
      <c r="I53">
        <v>0.871</v>
      </c>
      <c r="J53">
        <v>4.6222000000000003</v>
      </c>
      <c r="K53">
        <v>5.0430000000000001</v>
      </c>
      <c r="L53">
        <v>4.1539999999999999</v>
      </c>
      <c r="M53">
        <v>1.66</v>
      </c>
      <c r="N53">
        <v>14.22</v>
      </c>
      <c r="O53">
        <v>71.286000000000001</v>
      </c>
      <c r="P53">
        <v>81.447000000000003</v>
      </c>
      <c r="Q53">
        <v>97.144599999999997</v>
      </c>
      <c r="R53">
        <v>2.0345</v>
      </c>
      <c r="S53">
        <v>65.709999999999994</v>
      </c>
      <c r="T53">
        <v>67.650000000000006</v>
      </c>
      <c r="U53">
        <v>303.70999999999998</v>
      </c>
      <c r="V53">
        <v>799.6</v>
      </c>
      <c r="W53">
        <v>1577.86</v>
      </c>
      <c r="X53">
        <v>969.93</v>
      </c>
      <c r="Y53">
        <v>48956.39</v>
      </c>
      <c r="Z53" t="s">
        <v>103</v>
      </c>
      <c r="AA53" t="s">
        <v>103</v>
      </c>
      <c r="AB53" t="s">
        <v>103</v>
      </c>
      <c r="AC53">
        <v>10.6775</v>
      </c>
      <c r="AD53">
        <v>10.901899999999999</v>
      </c>
      <c r="AE53">
        <v>11.294600000000001</v>
      </c>
      <c r="AF53">
        <v>12.33</v>
      </c>
      <c r="AG53">
        <v>1.3648</v>
      </c>
      <c r="AH53">
        <v>119.53</v>
      </c>
      <c r="AI53">
        <v>1.9995000000000001</v>
      </c>
      <c r="AJ53">
        <v>1.1096999999999999</v>
      </c>
      <c r="AK53">
        <v>6.6977000000000002</v>
      </c>
      <c r="AL53">
        <v>1.2073</v>
      </c>
      <c r="AM53">
        <v>142.27000000000001</v>
      </c>
      <c r="AN53">
        <v>105.59</v>
      </c>
      <c r="AO53">
        <v>111.93</v>
      </c>
      <c r="AP53">
        <v>84.99</v>
      </c>
      <c r="AQ53">
        <v>84.43</v>
      </c>
    </row>
    <row r="54" spans="1:43" x14ac:dyDescent="0.25">
      <c r="A54" s="1">
        <v>39233</v>
      </c>
      <c r="B54">
        <v>4.7310999999999996</v>
      </c>
      <c r="C54" t="s">
        <v>103</v>
      </c>
      <c r="D54">
        <v>4.0750000000000002</v>
      </c>
      <c r="E54">
        <v>0.59</v>
      </c>
      <c r="F54">
        <v>4.9081000000000001</v>
      </c>
      <c r="G54">
        <v>5.7460000000000004</v>
      </c>
      <c r="H54">
        <v>4.3940000000000001</v>
      </c>
      <c r="I54">
        <v>0.98399999999999999</v>
      </c>
      <c r="J54">
        <v>4.8879000000000001</v>
      </c>
      <c r="K54">
        <v>5.2549999999999999</v>
      </c>
      <c r="L54">
        <v>4.4219999999999997</v>
      </c>
      <c r="M54">
        <v>1.7529999999999999</v>
      </c>
      <c r="N54">
        <v>13.05</v>
      </c>
      <c r="O54">
        <v>62.156999999999996</v>
      </c>
      <c r="P54">
        <v>82.301000000000002</v>
      </c>
      <c r="Q54">
        <v>96.151700000000005</v>
      </c>
      <c r="R54">
        <v>1.9246000000000001</v>
      </c>
      <c r="S54">
        <v>64.010000000000005</v>
      </c>
      <c r="T54">
        <v>68.040000000000006</v>
      </c>
      <c r="U54">
        <v>318.51</v>
      </c>
      <c r="V54">
        <v>785.79</v>
      </c>
      <c r="W54">
        <v>1616.87</v>
      </c>
      <c r="X54">
        <v>1014.79</v>
      </c>
      <c r="Y54">
        <v>52268.46</v>
      </c>
      <c r="Z54" t="s">
        <v>103</v>
      </c>
      <c r="AA54" t="s">
        <v>103</v>
      </c>
      <c r="AB54" t="s">
        <v>103</v>
      </c>
      <c r="AC54">
        <v>10.2684</v>
      </c>
      <c r="AD54">
        <v>10.4899</v>
      </c>
      <c r="AE54">
        <v>10.965299999999999</v>
      </c>
      <c r="AF54">
        <v>12.39</v>
      </c>
      <c r="AG54">
        <v>1.3452999999999999</v>
      </c>
      <c r="AH54">
        <v>121.73</v>
      </c>
      <c r="AI54">
        <v>1.9798</v>
      </c>
      <c r="AJ54">
        <v>1.0689</v>
      </c>
      <c r="AK54">
        <v>6.9177</v>
      </c>
      <c r="AL54">
        <v>1.2253000000000001</v>
      </c>
      <c r="AM54">
        <v>165.99</v>
      </c>
      <c r="AN54">
        <v>116.4</v>
      </c>
      <c r="AO54">
        <v>112.19</v>
      </c>
      <c r="AP54">
        <v>85.79</v>
      </c>
      <c r="AQ54">
        <v>86.97</v>
      </c>
    </row>
    <row r="55" spans="1:43" x14ac:dyDescent="0.25">
      <c r="A55" s="1">
        <v>39262</v>
      </c>
      <c r="B55">
        <v>4.8019999999999996</v>
      </c>
      <c r="C55" t="s">
        <v>103</v>
      </c>
      <c r="D55">
        <v>4.0069999999999997</v>
      </c>
      <c r="E55">
        <v>0.64900000000000002</v>
      </c>
      <c r="F55">
        <v>4.8582000000000001</v>
      </c>
      <c r="G55">
        <v>5.7709999999999999</v>
      </c>
      <c r="H55">
        <v>4.4619999999999997</v>
      </c>
      <c r="I55">
        <v>1.0249999999999999</v>
      </c>
      <c r="J55">
        <v>5.0244</v>
      </c>
      <c r="K55">
        <v>5.4630000000000001</v>
      </c>
      <c r="L55">
        <v>4.5739999999999998</v>
      </c>
      <c r="M55">
        <v>1.879</v>
      </c>
      <c r="N55">
        <v>16.23</v>
      </c>
      <c r="O55">
        <v>75.832999999999998</v>
      </c>
      <c r="P55">
        <v>81.92</v>
      </c>
      <c r="Q55">
        <v>96.003399999999999</v>
      </c>
      <c r="R55">
        <v>1.929</v>
      </c>
      <c r="S55">
        <v>70.680000000000007</v>
      </c>
      <c r="T55">
        <v>71.41</v>
      </c>
      <c r="U55">
        <v>318.66000000000003</v>
      </c>
      <c r="V55">
        <v>804.51</v>
      </c>
      <c r="W55">
        <v>1602.36</v>
      </c>
      <c r="X55">
        <v>1059.69</v>
      </c>
      <c r="Y55">
        <v>54392.06</v>
      </c>
      <c r="Z55" t="s">
        <v>103</v>
      </c>
      <c r="AA55" t="s">
        <v>103</v>
      </c>
      <c r="AB55" t="s">
        <v>103</v>
      </c>
      <c r="AC55">
        <v>10.647500000000001</v>
      </c>
      <c r="AD55">
        <v>10.6302</v>
      </c>
      <c r="AE55">
        <v>10.747299999999999</v>
      </c>
      <c r="AF55">
        <v>11.89</v>
      </c>
      <c r="AG55">
        <v>1.3541000000000001</v>
      </c>
      <c r="AH55">
        <v>123.17</v>
      </c>
      <c r="AI55">
        <v>2.0087000000000002</v>
      </c>
      <c r="AJ55">
        <v>1.0652999999999999</v>
      </c>
      <c r="AK55">
        <v>6.8337000000000003</v>
      </c>
      <c r="AL55">
        <v>1.2215</v>
      </c>
      <c r="AM55">
        <v>154.91</v>
      </c>
      <c r="AN55">
        <v>112.88</v>
      </c>
      <c r="AO55">
        <v>112.91</v>
      </c>
      <c r="AP55">
        <v>86.41</v>
      </c>
      <c r="AQ55">
        <v>85.9</v>
      </c>
    </row>
    <row r="56" spans="1:43" x14ac:dyDescent="0.25">
      <c r="A56" s="1">
        <v>39294</v>
      </c>
      <c r="B56">
        <v>4.9405999999999999</v>
      </c>
      <c r="C56" t="s">
        <v>103</v>
      </c>
      <c r="D56">
        <v>4.0620000000000003</v>
      </c>
      <c r="E56">
        <v>0.65600000000000003</v>
      </c>
      <c r="F56">
        <v>4.5174000000000003</v>
      </c>
      <c r="G56">
        <v>5.5590000000000002</v>
      </c>
      <c r="H56">
        <v>4.2990000000000004</v>
      </c>
      <c r="I56">
        <v>0.98599999999999999</v>
      </c>
      <c r="J56">
        <v>4.7388000000000003</v>
      </c>
      <c r="K56">
        <v>5.2089999999999996</v>
      </c>
      <c r="L56">
        <v>4.3470000000000004</v>
      </c>
      <c r="M56">
        <v>1.8</v>
      </c>
      <c r="N56">
        <v>23.52</v>
      </c>
      <c r="O56">
        <v>130.94200000000001</v>
      </c>
      <c r="P56">
        <v>80.77</v>
      </c>
      <c r="Q56">
        <v>95.349800000000002</v>
      </c>
      <c r="R56">
        <v>1.8825000000000001</v>
      </c>
      <c r="S56">
        <v>78.209999999999994</v>
      </c>
      <c r="T56">
        <v>77.05</v>
      </c>
      <c r="U56">
        <v>322.68</v>
      </c>
      <c r="V56">
        <v>851.77</v>
      </c>
      <c r="W56">
        <v>1565.81</v>
      </c>
      <c r="X56">
        <v>1112.77</v>
      </c>
      <c r="Y56">
        <v>54182.5</v>
      </c>
      <c r="Z56" t="s">
        <v>103</v>
      </c>
      <c r="AA56" t="s">
        <v>103</v>
      </c>
      <c r="AB56" t="s">
        <v>103</v>
      </c>
      <c r="AC56">
        <v>10.897399999999999</v>
      </c>
      <c r="AD56">
        <v>11.0235</v>
      </c>
      <c r="AE56">
        <v>10.940300000000001</v>
      </c>
      <c r="AF56">
        <v>11.37</v>
      </c>
      <c r="AG56">
        <v>1.3684000000000001</v>
      </c>
      <c r="AH56">
        <v>118.62</v>
      </c>
      <c r="AI56">
        <v>2.0312999999999999</v>
      </c>
      <c r="AJ56">
        <v>1.0665</v>
      </c>
      <c r="AK56">
        <v>6.7323000000000004</v>
      </c>
      <c r="AL56">
        <v>1.2011000000000001</v>
      </c>
      <c r="AM56">
        <v>160.02000000000001</v>
      </c>
      <c r="AN56">
        <v>116.34</v>
      </c>
      <c r="AO56">
        <v>112.52</v>
      </c>
      <c r="AP56">
        <v>86.92</v>
      </c>
      <c r="AQ56">
        <v>89.74</v>
      </c>
    </row>
    <row r="57" spans="1:43" x14ac:dyDescent="0.25">
      <c r="A57" s="1">
        <v>39325</v>
      </c>
      <c r="B57">
        <v>4.1059000000000001</v>
      </c>
      <c r="C57">
        <v>5.8659999999999997</v>
      </c>
      <c r="D57">
        <v>3.9140000000000001</v>
      </c>
      <c r="E57">
        <v>0.66800000000000004</v>
      </c>
      <c r="F57">
        <v>4.1319999999999997</v>
      </c>
      <c r="G57">
        <v>5.3620000000000001</v>
      </c>
      <c r="H57">
        <v>4.0129999999999999</v>
      </c>
      <c r="I57">
        <v>0.88</v>
      </c>
      <c r="J57">
        <v>4.5292000000000003</v>
      </c>
      <c r="K57">
        <v>5.0359999999999996</v>
      </c>
      <c r="L57">
        <v>4.242</v>
      </c>
      <c r="M57">
        <v>1.613</v>
      </c>
      <c r="N57">
        <v>23.38</v>
      </c>
      <c r="O57">
        <v>103.566</v>
      </c>
      <c r="P57">
        <v>80.790999999999997</v>
      </c>
      <c r="Q57">
        <v>96.488799999999998</v>
      </c>
      <c r="R57">
        <v>1.9619</v>
      </c>
      <c r="S57">
        <v>74.040000000000006</v>
      </c>
      <c r="T57">
        <v>72.69</v>
      </c>
      <c r="U57">
        <v>318.95999999999998</v>
      </c>
      <c r="V57">
        <v>839.53</v>
      </c>
      <c r="W57">
        <v>1561.59</v>
      </c>
      <c r="X57">
        <v>1086.98</v>
      </c>
      <c r="Y57">
        <v>54637.24</v>
      </c>
      <c r="Z57" t="s">
        <v>103</v>
      </c>
      <c r="AA57" t="s">
        <v>103</v>
      </c>
      <c r="AB57" t="s">
        <v>103</v>
      </c>
      <c r="AC57">
        <v>11.867800000000001</v>
      </c>
      <c r="AD57">
        <v>11.779400000000001</v>
      </c>
      <c r="AE57">
        <v>11.361800000000001</v>
      </c>
      <c r="AF57">
        <v>11.42</v>
      </c>
      <c r="AG57">
        <v>1.363</v>
      </c>
      <c r="AH57">
        <v>115.77</v>
      </c>
      <c r="AI57">
        <v>2.0171000000000001</v>
      </c>
      <c r="AJ57">
        <v>1.0556000000000001</v>
      </c>
      <c r="AK57">
        <v>6.8947000000000003</v>
      </c>
      <c r="AL57">
        <v>1.2083999999999999</v>
      </c>
      <c r="AM57">
        <v>176.25</v>
      </c>
      <c r="AN57">
        <v>122.28</v>
      </c>
      <c r="AO57">
        <v>114.15</v>
      </c>
      <c r="AP57">
        <v>87.1</v>
      </c>
      <c r="AQ57">
        <v>90.58</v>
      </c>
    </row>
    <row r="58" spans="1:43" x14ac:dyDescent="0.25">
      <c r="A58" s="1">
        <v>39353</v>
      </c>
      <c r="B58">
        <v>3.7955999999999999</v>
      </c>
      <c r="C58">
        <v>5.8890000000000002</v>
      </c>
      <c r="D58">
        <v>3.806</v>
      </c>
      <c r="E58">
        <v>0.57199999999999995</v>
      </c>
      <c r="F58">
        <v>3.9834999999999998</v>
      </c>
      <c r="G58">
        <v>5.07</v>
      </c>
      <c r="H58">
        <v>4.0279999999999996</v>
      </c>
      <c r="I58">
        <v>0.87</v>
      </c>
      <c r="J58">
        <v>4.5865</v>
      </c>
      <c r="K58">
        <v>5.0110000000000001</v>
      </c>
      <c r="L58">
        <v>4.3289999999999997</v>
      </c>
      <c r="M58">
        <v>1.6850000000000001</v>
      </c>
      <c r="N58">
        <v>18</v>
      </c>
      <c r="O58">
        <v>85.099000000000004</v>
      </c>
      <c r="P58">
        <v>77.718999999999994</v>
      </c>
      <c r="Q58">
        <v>95.919399999999996</v>
      </c>
      <c r="R58">
        <v>1.8335999999999999</v>
      </c>
      <c r="S58">
        <v>81.66</v>
      </c>
      <c r="T58">
        <v>79.17</v>
      </c>
      <c r="U58">
        <v>328.99</v>
      </c>
      <c r="V58">
        <v>856.92</v>
      </c>
      <c r="W58">
        <v>1633.58</v>
      </c>
      <c r="X58">
        <v>1204.9000000000001</v>
      </c>
      <c r="Y58">
        <v>60465.06</v>
      </c>
      <c r="Z58" t="s">
        <v>103</v>
      </c>
      <c r="AA58" t="s">
        <v>103</v>
      </c>
      <c r="AB58" t="s">
        <v>103</v>
      </c>
      <c r="AC58">
        <v>11.387700000000001</v>
      </c>
      <c r="AD58">
        <v>11.32</v>
      </c>
      <c r="AE58">
        <v>11.16</v>
      </c>
      <c r="AF58">
        <v>11.12</v>
      </c>
      <c r="AG58">
        <v>1.4267000000000001</v>
      </c>
      <c r="AH58">
        <v>114.81</v>
      </c>
      <c r="AI58">
        <v>2.0472999999999999</v>
      </c>
      <c r="AJ58">
        <v>0.99229999999999996</v>
      </c>
      <c r="AK58">
        <v>6.4381000000000004</v>
      </c>
      <c r="AL58">
        <v>1.1637</v>
      </c>
      <c r="AM58">
        <v>164.85</v>
      </c>
      <c r="AN58">
        <v>114.61</v>
      </c>
      <c r="AO58">
        <v>112.8</v>
      </c>
      <c r="AP58">
        <v>87.79</v>
      </c>
      <c r="AQ58">
        <v>86.5</v>
      </c>
    </row>
    <row r="59" spans="1:43" x14ac:dyDescent="0.25">
      <c r="A59" s="1">
        <v>39386</v>
      </c>
      <c r="B59">
        <v>3.9112</v>
      </c>
      <c r="C59">
        <v>5.9809999999999999</v>
      </c>
      <c r="D59">
        <v>3.8570000000000002</v>
      </c>
      <c r="E59">
        <v>0.60299999999999998</v>
      </c>
      <c r="F59">
        <v>3.9451999999999998</v>
      </c>
      <c r="G59">
        <v>5.1020000000000003</v>
      </c>
      <c r="H59">
        <v>4.056</v>
      </c>
      <c r="I59">
        <v>0.79</v>
      </c>
      <c r="J59">
        <v>4.4707999999999997</v>
      </c>
      <c r="K59">
        <v>4.9279999999999999</v>
      </c>
      <c r="L59">
        <v>4.2389999999999999</v>
      </c>
      <c r="M59">
        <v>1.61</v>
      </c>
      <c r="N59">
        <v>18.53</v>
      </c>
      <c r="O59">
        <v>81.33</v>
      </c>
      <c r="P59">
        <v>76.478999999999999</v>
      </c>
      <c r="Q59">
        <v>94.399799999999999</v>
      </c>
      <c r="R59">
        <v>1.736</v>
      </c>
      <c r="S59">
        <v>94.53</v>
      </c>
      <c r="T59">
        <v>90.63</v>
      </c>
      <c r="U59">
        <v>324.06</v>
      </c>
      <c r="V59">
        <v>872.29</v>
      </c>
      <c r="W59">
        <v>1682.35</v>
      </c>
      <c r="X59">
        <v>1337.45</v>
      </c>
      <c r="Y59">
        <v>65317.7</v>
      </c>
      <c r="Z59" t="s">
        <v>103</v>
      </c>
      <c r="AA59" t="s">
        <v>103</v>
      </c>
      <c r="AB59" t="s">
        <v>103</v>
      </c>
      <c r="AC59">
        <v>11.6442</v>
      </c>
      <c r="AD59">
        <v>11.5349</v>
      </c>
      <c r="AE59">
        <v>11.299799999999999</v>
      </c>
      <c r="AF59">
        <v>11.09</v>
      </c>
      <c r="AG59">
        <v>1.4487000000000001</v>
      </c>
      <c r="AH59">
        <v>115.44</v>
      </c>
      <c r="AI59">
        <v>2.0798000000000001</v>
      </c>
      <c r="AJ59">
        <v>0.94310000000000005</v>
      </c>
      <c r="AK59">
        <v>6.3509000000000002</v>
      </c>
      <c r="AL59">
        <v>1.1580999999999999</v>
      </c>
      <c r="AM59">
        <v>184.73</v>
      </c>
      <c r="AN59">
        <v>125.65</v>
      </c>
      <c r="AO59">
        <v>116.19</v>
      </c>
      <c r="AP59">
        <v>88.64</v>
      </c>
      <c r="AQ59">
        <v>90.66</v>
      </c>
    </row>
    <row r="60" spans="1:43" x14ac:dyDescent="0.25">
      <c r="A60" s="1">
        <v>39416</v>
      </c>
      <c r="B60">
        <v>3.1444999999999999</v>
      </c>
      <c r="C60">
        <v>5.4180000000000001</v>
      </c>
      <c r="D60">
        <v>3.8580000000000001</v>
      </c>
      <c r="E60">
        <v>0.56999999999999995</v>
      </c>
      <c r="F60">
        <v>2.9946999999999999</v>
      </c>
      <c r="G60">
        <v>4.5220000000000002</v>
      </c>
      <c r="H60">
        <v>3.831</v>
      </c>
      <c r="I60">
        <v>0.77</v>
      </c>
      <c r="J60">
        <v>3.9379</v>
      </c>
      <c r="K60">
        <v>4.6369999999999996</v>
      </c>
      <c r="L60">
        <v>4.1260000000000003</v>
      </c>
      <c r="M60">
        <v>1.478</v>
      </c>
      <c r="N60">
        <v>22.87</v>
      </c>
      <c r="O60">
        <v>98.406000000000006</v>
      </c>
      <c r="P60">
        <v>76.147000000000006</v>
      </c>
      <c r="Q60">
        <v>94.004900000000006</v>
      </c>
      <c r="R60">
        <v>1.7924</v>
      </c>
      <c r="S60">
        <v>88.71</v>
      </c>
      <c r="T60">
        <v>88.26</v>
      </c>
      <c r="U60">
        <v>331.92</v>
      </c>
      <c r="V60">
        <v>820.82</v>
      </c>
      <c r="W60">
        <v>1610.94</v>
      </c>
      <c r="X60">
        <v>1242.06</v>
      </c>
      <c r="Y60">
        <v>63006.16</v>
      </c>
      <c r="Z60" t="s">
        <v>103</v>
      </c>
      <c r="AA60" t="s">
        <v>103</v>
      </c>
      <c r="AB60" t="s">
        <v>103</v>
      </c>
      <c r="AC60">
        <v>12.3178</v>
      </c>
      <c r="AD60">
        <v>12.098599999999999</v>
      </c>
      <c r="AE60">
        <v>11.5886</v>
      </c>
      <c r="AF60">
        <v>11.12</v>
      </c>
      <c r="AG60">
        <v>1.4633</v>
      </c>
      <c r="AH60">
        <v>111.24</v>
      </c>
      <c r="AI60">
        <v>2.0562999999999998</v>
      </c>
      <c r="AJ60">
        <v>0.99870000000000003</v>
      </c>
      <c r="AK60">
        <v>6.3981000000000003</v>
      </c>
      <c r="AL60">
        <v>1.1317999999999999</v>
      </c>
      <c r="AM60">
        <v>182.01</v>
      </c>
      <c r="AN60">
        <v>119.33</v>
      </c>
      <c r="AO60">
        <v>114.92</v>
      </c>
      <c r="AP60">
        <v>88.59</v>
      </c>
      <c r="AQ60">
        <v>88.35</v>
      </c>
    </row>
    <row r="61" spans="1:43" x14ac:dyDescent="0.25">
      <c r="A61" s="1">
        <v>39447</v>
      </c>
      <c r="B61">
        <v>3.2368000000000001</v>
      </c>
      <c r="C61">
        <v>5.056</v>
      </c>
      <c r="D61">
        <v>3.6859999999999999</v>
      </c>
      <c r="E61">
        <v>0.58299999999999996</v>
      </c>
      <c r="F61">
        <v>3.0466000000000002</v>
      </c>
      <c r="G61">
        <v>4.359</v>
      </c>
      <c r="H61">
        <v>3.964</v>
      </c>
      <c r="I61">
        <v>0.71499999999999997</v>
      </c>
      <c r="J61">
        <v>4.0232000000000001</v>
      </c>
      <c r="K61">
        <v>4.508</v>
      </c>
      <c r="L61">
        <v>4.3070000000000004</v>
      </c>
      <c r="M61">
        <v>1.51</v>
      </c>
      <c r="N61">
        <v>22.5</v>
      </c>
      <c r="O61">
        <v>103</v>
      </c>
      <c r="P61">
        <v>76.694999999999993</v>
      </c>
      <c r="Q61">
        <v>93.706800000000001</v>
      </c>
      <c r="R61">
        <v>1.78</v>
      </c>
      <c r="S61">
        <v>95.98</v>
      </c>
      <c r="T61">
        <v>93.85</v>
      </c>
      <c r="U61">
        <v>335.94</v>
      </c>
      <c r="V61">
        <v>811.85</v>
      </c>
      <c r="W61">
        <v>1588.8</v>
      </c>
      <c r="X61">
        <v>1245.5899999999999</v>
      </c>
      <c r="Y61">
        <v>63886.1</v>
      </c>
      <c r="Z61" t="s">
        <v>103</v>
      </c>
      <c r="AA61" t="s">
        <v>103</v>
      </c>
      <c r="AB61" t="s">
        <v>103</v>
      </c>
      <c r="AC61">
        <v>12.985900000000001</v>
      </c>
      <c r="AD61">
        <v>12.8066</v>
      </c>
      <c r="AE61">
        <v>12.0649</v>
      </c>
      <c r="AF61">
        <v>11.12</v>
      </c>
      <c r="AG61">
        <v>1.4589000000000001</v>
      </c>
      <c r="AH61">
        <v>111.75</v>
      </c>
      <c r="AI61">
        <v>1.9850000000000001</v>
      </c>
      <c r="AJ61">
        <v>0.99839999999999995</v>
      </c>
      <c r="AK61">
        <v>6.4703999999999997</v>
      </c>
      <c r="AL61">
        <v>1.1335</v>
      </c>
      <c r="AM61">
        <v>162.72999999999999</v>
      </c>
      <c r="AN61">
        <v>107.94</v>
      </c>
      <c r="AO61">
        <v>115.26</v>
      </c>
      <c r="AP61">
        <v>89.39</v>
      </c>
      <c r="AQ61">
        <v>85.93</v>
      </c>
    </row>
    <row r="62" spans="1:43" x14ac:dyDescent="0.25">
      <c r="A62" s="1">
        <v>39478</v>
      </c>
      <c r="B62">
        <v>1.9409000000000001</v>
      </c>
      <c r="C62">
        <v>5.0739999999999998</v>
      </c>
      <c r="D62">
        <v>3.895</v>
      </c>
      <c r="E62">
        <v>0.55700000000000005</v>
      </c>
      <c r="F62">
        <v>2.0929000000000002</v>
      </c>
      <c r="G62">
        <v>4.2919999999999998</v>
      </c>
      <c r="H62">
        <v>3.3730000000000002</v>
      </c>
      <c r="I62">
        <v>0.55000000000000004</v>
      </c>
      <c r="J62">
        <v>3.5931000000000002</v>
      </c>
      <c r="K62">
        <v>4.4770000000000003</v>
      </c>
      <c r="L62">
        <v>3.93</v>
      </c>
      <c r="M62">
        <v>1.44</v>
      </c>
      <c r="N62">
        <v>26.2</v>
      </c>
      <c r="O62">
        <v>135.68700000000001</v>
      </c>
      <c r="P62">
        <v>75.177999999999997</v>
      </c>
      <c r="Q62">
        <v>93.091200000000001</v>
      </c>
      <c r="R62">
        <v>1.7592000000000001</v>
      </c>
      <c r="S62">
        <v>91.75</v>
      </c>
      <c r="T62">
        <v>92.21</v>
      </c>
      <c r="U62">
        <v>359.31</v>
      </c>
      <c r="V62">
        <v>809.53</v>
      </c>
      <c r="W62">
        <v>1466.35</v>
      </c>
      <c r="X62">
        <v>1088.72</v>
      </c>
      <c r="Y62">
        <v>59490.400000000001</v>
      </c>
      <c r="Z62" t="s">
        <v>103</v>
      </c>
      <c r="AA62" t="s">
        <v>103</v>
      </c>
      <c r="AB62" t="s">
        <v>103</v>
      </c>
      <c r="AC62">
        <v>12.9405</v>
      </c>
      <c r="AD62">
        <v>12.7697</v>
      </c>
      <c r="AE62">
        <v>12.109500000000001</v>
      </c>
      <c r="AF62">
        <v>11.1</v>
      </c>
      <c r="AG62">
        <v>1.4861</v>
      </c>
      <c r="AH62">
        <v>106.45</v>
      </c>
      <c r="AI62">
        <v>1.9872000000000001</v>
      </c>
      <c r="AJ62">
        <v>1.0027999999999999</v>
      </c>
      <c r="AK62">
        <v>6.3699000000000003</v>
      </c>
      <c r="AL62">
        <v>1.0813999999999999</v>
      </c>
      <c r="AM62">
        <v>157.32</v>
      </c>
      <c r="AN62">
        <v>110.46</v>
      </c>
      <c r="AO62">
        <v>117.17</v>
      </c>
      <c r="AP62">
        <v>89.53</v>
      </c>
      <c r="AQ62">
        <v>85.53</v>
      </c>
    </row>
    <row r="63" spans="1:43" x14ac:dyDescent="0.25">
      <c r="A63" s="1">
        <v>39507</v>
      </c>
      <c r="B63">
        <v>1.8380000000000001</v>
      </c>
      <c r="C63">
        <v>5.0739999999999998</v>
      </c>
      <c r="D63">
        <v>3.8719999999999999</v>
      </c>
      <c r="E63">
        <v>0.56699999999999995</v>
      </c>
      <c r="F63">
        <v>1.6157999999999999</v>
      </c>
      <c r="G63">
        <v>4.069</v>
      </c>
      <c r="H63">
        <v>3.16</v>
      </c>
      <c r="I63">
        <v>0.56499999999999995</v>
      </c>
      <c r="J63">
        <v>3.5091999999999999</v>
      </c>
      <c r="K63">
        <v>4.4690000000000003</v>
      </c>
      <c r="L63">
        <v>3.891</v>
      </c>
      <c r="M63">
        <v>1.365</v>
      </c>
      <c r="N63">
        <v>26.54</v>
      </c>
      <c r="O63">
        <v>152.375</v>
      </c>
      <c r="P63">
        <v>73.713999999999999</v>
      </c>
      <c r="Q63">
        <v>92.097200000000001</v>
      </c>
      <c r="R63">
        <v>1.6907000000000001</v>
      </c>
      <c r="S63">
        <v>101.84</v>
      </c>
      <c r="T63">
        <v>100.1</v>
      </c>
      <c r="U63">
        <v>404.65</v>
      </c>
      <c r="V63">
        <v>904.14</v>
      </c>
      <c r="W63">
        <v>1455.56</v>
      </c>
      <c r="X63">
        <v>1167.6600000000001</v>
      </c>
      <c r="Y63">
        <v>63489.3</v>
      </c>
      <c r="Z63" t="s">
        <v>103</v>
      </c>
      <c r="AA63" t="s">
        <v>103</v>
      </c>
      <c r="AB63" t="s">
        <v>103</v>
      </c>
      <c r="AC63">
        <v>12.53</v>
      </c>
      <c r="AD63">
        <v>12.4878</v>
      </c>
      <c r="AE63">
        <v>11.922700000000001</v>
      </c>
      <c r="AF63">
        <v>11.08</v>
      </c>
      <c r="AG63">
        <v>1.5179</v>
      </c>
      <c r="AH63">
        <v>103.74</v>
      </c>
      <c r="AI63">
        <v>1.9891000000000001</v>
      </c>
      <c r="AJ63">
        <v>0.98780000000000001</v>
      </c>
      <c r="AK63">
        <v>6.1677999999999997</v>
      </c>
      <c r="AL63">
        <v>1.0411999999999999</v>
      </c>
      <c r="AM63">
        <v>163.53</v>
      </c>
      <c r="AN63">
        <v>106.13</v>
      </c>
      <c r="AO63">
        <v>116.92</v>
      </c>
      <c r="AP63">
        <v>89.26</v>
      </c>
      <c r="AQ63">
        <v>85.57</v>
      </c>
    </row>
    <row r="64" spans="1:43" x14ac:dyDescent="0.25">
      <c r="A64" s="1">
        <v>39538</v>
      </c>
      <c r="B64">
        <v>1.3156000000000001</v>
      </c>
      <c r="C64">
        <v>5.0739999999999998</v>
      </c>
      <c r="D64">
        <v>3.4079999999999999</v>
      </c>
      <c r="E64">
        <v>0.58799999999999997</v>
      </c>
      <c r="F64">
        <v>1.5824</v>
      </c>
      <c r="G64">
        <v>3.8290000000000002</v>
      </c>
      <c r="H64">
        <v>3.431</v>
      </c>
      <c r="I64">
        <v>0.57499999999999996</v>
      </c>
      <c r="J64">
        <v>3.4096000000000002</v>
      </c>
      <c r="K64">
        <v>4.3479999999999999</v>
      </c>
      <c r="L64">
        <v>3.899</v>
      </c>
      <c r="M64">
        <v>1.284</v>
      </c>
      <c r="N64">
        <v>25.61</v>
      </c>
      <c r="O64">
        <v>177.667</v>
      </c>
      <c r="P64">
        <v>71.802000000000007</v>
      </c>
      <c r="Q64">
        <v>91.444500000000005</v>
      </c>
      <c r="R64">
        <v>1.7519</v>
      </c>
      <c r="S64">
        <v>101.58</v>
      </c>
      <c r="T64">
        <v>100.3</v>
      </c>
      <c r="U64">
        <v>375.92</v>
      </c>
      <c r="V64">
        <v>909.03</v>
      </c>
      <c r="W64">
        <v>1437.4</v>
      </c>
      <c r="X64">
        <v>1104.58</v>
      </c>
      <c r="Y64">
        <v>60968.07</v>
      </c>
      <c r="Z64" t="s">
        <v>103</v>
      </c>
      <c r="AA64" t="s">
        <v>103</v>
      </c>
      <c r="AB64" t="s">
        <v>103</v>
      </c>
      <c r="AC64">
        <v>13.33</v>
      </c>
      <c r="AD64">
        <v>13.3096</v>
      </c>
      <c r="AE64">
        <v>12.6974</v>
      </c>
      <c r="AF64">
        <v>11.15</v>
      </c>
      <c r="AG64">
        <v>1.5788</v>
      </c>
      <c r="AH64">
        <v>99.7</v>
      </c>
      <c r="AI64">
        <v>1.9837</v>
      </c>
      <c r="AJ64">
        <v>1.0253000000000001</v>
      </c>
      <c r="AK64">
        <v>5.9420000000000002</v>
      </c>
      <c r="AL64">
        <v>0.99309999999999998</v>
      </c>
      <c r="AM64">
        <v>179.65</v>
      </c>
      <c r="AN64">
        <v>113.9</v>
      </c>
      <c r="AO64">
        <v>117.15</v>
      </c>
      <c r="AP64">
        <v>88.67</v>
      </c>
      <c r="AQ64">
        <v>90.54</v>
      </c>
    </row>
    <row r="65" spans="1:43" x14ac:dyDescent="0.25">
      <c r="A65" s="1">
        <v>39568</v>
      </c>
      <c r="B65">
        <v>1.3772</v>
      </c>
      <c r="C65">
        <v>5.0739999999999998</v>
      </c>
      <c r="D65">
        <v>3.63</v>
      </c>
      <c r="E65">
        <v>0.61</v>
      </c>
      <c r="F65">
        <v>2.2536999999999998</v>
      </c>
      <c r="G65">
        <v>4.4180000000000001</v>
      </c>
      <c r="H65">
        <v>3.7570000000000001</v>
      </c>
      <c r="I65">
        <v>0.78500000000000003</v>
      </c>
      <c r="J65">
        <v>3.7279</v>
      </c>
      <c r="K65">
        <v>4.67</v>
      </c>
      <c r="L65">
        <v>4.1230000000000002</v>
      </c>
      <c r="M65">
        <v>1.585</v>
      </c>
      <c r="N65">
        <v>20.79</v>
      </c>
      <c r="O65">
        <v>108.5</v>
      </c>
      <c r="P65">
        <v>72.509</v>
      </c>
      <c r="Q65">
        <v>90.601100000000002</v>
      </c>
      <c r="R65">
        <v>1.6629</v>
      </c>
      <c r="S65">
        <v>113.46</v>
      </c>
      <c r="T65">
        <v>111.36</v>
      </c>
      <c r="U65">
        <v>400.77</v>
      </c>
      <c r="V65">
        <v>950.91</v>
      </c>
      <c r="W65">
        <v>1508.99</v>
      </c>
      <c r="X65">
        <v>1191.53</v>
      </c>
      <c r="Y65">
        <v>67868.460000000006</v>
      </c>
      <c r="Z65" t="s">
        <v>103</v>
      </c>
      <c r="AA65" t="s">
        <v>103</v>
      </c>
      <c r="AB65" t="s">
        <v>103</v>
      </c>
      <c r="AC65">
        <v>13.533799999999999</v>
      </c>
      <c r="AD65">
        <v>13.7135</v>
      </c>
      <c r="AE65">
        <v>13.2195</v>
      </c>
      <c r="AF65">
        <v>11.57</v>
      </c>
      <c r="AG65">
        <v>1.5622</v>
      </c>
      <c r="AH65">
        <v>103.92</v>
      </c>
      <c r="AI65">
        <v>1.9869000000000001</v>
      </c>
      <c r="AJ65">
        <v>1.0079</v>
      </c>
      <c r="AK65">
        <v>5.9850000000000003</v>
      </c>
      <c r="AL65">
        <v>1.0345</v>
      </c>
      <c r="AM65">
        <v>184.47</v>
      </c>
      <c r="AN65">
        <v>115.64</v>
      </c>
      <c r="AO65">
        <v>117.24</v>
      </c>
      <c r="AP65">
        <v>89.85</v>
      </c>
      <c r="AQ65">
        <v>90.88</v>
      </c>
    </row>
    <row r="66" spans="1:43" x14ac:dyDescent="0.25">
      <c r="A66" s="1">
        <v>39598</v>
      </c>
      <c r="B66">
        <v>1.879</v>
      </c>
      <c r="C66">
        <v>5.0739999999999998</v>
      </c>
      <c r="D66">
        <v>3.9740000000000002</v>
      </c>
      <c r="E66">
        <v>0.60799999999999998</v>
      </c>
      <c r="F66">
        <v>2.6410999999999998</v>
      </c>
      <c r="G66">
        <v>5.0739999999999998</v>
      </c>
      <c r="H66">
        <v>4.3159999999999998</v>
      </c>
      <c r="I66">
        <v>0.91500000000000004</v>
      </c>
      <c r="J66">
        <v>4.0594999999999999</v>
      </c>
      <c r="K66">
        <v>4.9859999999999998</v>
      </c>
      <c r="L66">
        <v>4.4050000000000002</v>
      </c>
      <c r="M66">
        <v>1.7589999999999999</v>
      </c>
      <c r="N66">
        <v>17.829999999999998</v>
      </c>
      <c r="O66">
        <v>85.165000000000006</v>
      </c>
      <c r="P66">
        <v>72.879000000000005</v>
      </c>
      <c r="Q66">
        <v>90.856399999999994</v>
      </c>
      <c r="R66">
        <v>1.627</v>
      </c>
      <c r="S66">
        <v>127.35</v>
      </c>
      <c r="T66">
        <v>127.78</v>
      </c>
      <c r="U66">
        <v>403.93</v>
      </c>
      <c r="V66">
        <v>845.91</v>
      </c>
      <c r="W66">
        <v>1525.73</v>
      </c>
      <c r="X66">
        <v>1210.04</v>
      </c>
      <c r="Y66">
        <v>72592.5</v>
      </c>
      <c r="Z66" t="s">
        <v>103</v>
      </c>
      <c r="AA66" t="s">
        <v>103</v>
      </c>
      <c r="AB66" t="s">
        <v>103</v>
      </c>
      <c r="AC66">
        <v>14.0921</v>
      </c>
      <c r="AD66">
        <v>14.1967</v>
      </c>
      <c r="AE66">
        <v>13.753500000000001</v>
      </c>
      <c r="AF66">
        <v>11.55</v>
      </c>
      <c r="AG66">
        <v>1.5553999999999999</v>
      </c>
      <c r="AH66">
        <v>105.52</v>
      </c>
      <c r="AI66">
        <v>1.9823</v>
      </c>
      <c r="AJ66">
        <v>0.99339999999999995</v>
      </c>
      <c r="AK66">
        <v>6.0034000000000001</v>
      </c>
      <c r="AL66">
        <v>1.0423</v>
      </c>
      <c r="AM66">
        <v>177.76</v>
      </c>
      <c r="AN66">
        <v>119.39</v>
      </c>
      <c r="AO66">
        <v>118.13</v>
      </c>
      <c r="AP66">
        <v>90.77</v>
      </c>
      <c r="AQ66">
        <v>90.49</v>
      </c>
    </row>
    <row r="67" spans="1:43" x14ac:dyDescent="0.25">
      <c r="A67" s="1">
        <v>39629</v>
      </c>
      <c r="B67">
        <v>1.7305999999999999</v>
      </c>
      <c r="C67">
        <v>5.0739999999999998</v>
      </c>
      <c r="D67">
        <v>4.3029999999999999</v>
      </c>
      <c r="E67">
        <v>0.59299999999999997</v>
      </c>
      <c r="F67">
        <v>2.6164000000000001</v>
      </c>
      <c r="G67">
        <v>5.2264999999999997</v>
      </c>
      <c r="H67">
        <v>4.5970000000000004</v>
      </c>
      <c r="I67">
        <v>0.80500000000000005</v>
      </c>
      <c r="J67">
        <v>3.9689999999999999</v>
      </c>
      <c r="K67">
        <v>5.1300999999999997</v>
      </c>
      <c r="L67">
        <v>4.6210000000000004</v>
      </c>
      <c r="M67">
        <v>1.601</v>
      </c>
      <c r="N67">
        <v>23.95</v>
      </c>
      <c r="O67">
        <v>120.571</v>
      </c>
      <c r="P67">
        <v>72.462999999999994</v>
      </c>
      <c r="Q67">
        <v>90.429199999999994</v>
      </c>
      <c r="R67">
        <v>1.6036999999999999</v>
      </c>
      <c r="S67">
        <v>140</v>
      </c>
      <c r="T67">
        <v>139.83000000000001</v>
      </c>
      <c r="U67">
        <v>441.97</v>
      </c>
      <c r="V67">
        <v>829.25</v>
      </c>
      <c r="W67">
        <v>1402.13</v>
      </c>
      <c r="X67">
        <v>1087.1199999999999</v>
      </c>
      <c r="Y67">
        <v>65017.58</v>
      </c>
      <c r="Z67" t="s">
        <v>103</v>
      </c>
      <c r="AA67" t="s">
        <v>103</v>
      </c>
      <c r="AB67" t="s">
        <v>103</v>
      </c>
      <c r="AC67">
        <v>15.251799999999999</v>
      </c>
      <c r="AD67">
        <v>15.3689</v>
      </c>
      <c r="AE67">
        <v>14.487</v>
      </c>
      <c r="AF67">
        <v>12.09</v>
      </c>
      <c r="AG67">
        <v>1.5754999999999999</v>
      </c>
      <c r="AH67">
        <v>106.21</v>
      </c>
      <c r="AI67">
        <v>1.9923</v>
      </c>
      <c r="AJ67">
        <v>1.0215000000000001</v>
      </c>
      <c r="AK67">
        <v>6.0130999999999997</v>
      </c>
      <c r="AL67">
        <v>1.0209999999999999</v>
      </c>
      <c r="AM67">
        <v>189.68</v>
      </c>
      <c r="AN67">
        <v>120.35</v>
      </c>
      <c r="AO67">
        <v>119.6</v>
      </c>
      <c r="AP67">
        <v>91.73</v>
      </c>
      <c r="AQ67">
        <v>91.66</v>
      </c>
    </row>
    <row r="68" spans="1:43" x14ac:dyDescent="0.25">
      <c r="A68" s="1">
        <v>39660</v>
      </c>
      <c r="B68">
        <v>1.6594</v>
      </c>
      <c r="C68">
        <v>5.0739999999999998</v>
      </c>
      <c r="D68">
        <v>4.234</v>
      </c>
      <c r="E68">
        <v>0.59499999999999997</v>
      </c>
      <c r="F68">
        <v>2.5078999999999998</v>
      </c>
      <c r="G68">
        <v>4.8029000000000002</v>
      </c>
      <c r="H68">
        <v>4.26</v>
      </c>
      <c r="I68">
        <v>0.79</v>
      </c>
      <c r="J68">
        <v>3.9462000000000002</v>
      </c>
      <c r="K68">
        <v>4.8056000000000001</v>
      </c>
      <c r="L68">
        <v>4.3550000000000004</v>
      </c>
      <c r="M68">
        <v>1.5389999999999999</v>
      </c>
      <c r="N68">
        <v>22.94</v>
      </c>
      <c r="O68">
        <v>117.715</v>
      </c>
      <c r="P68">
        <v>73.227000000000004</v>
      </c>
      <c r="Q68">
        <v>89.824399999999997</v>
      </c>
      <c r="R68">
        <v>1.5653999999999999</v>
      </c>
      <c r="S68">
        <v>124.08</v>
      </c>
      <c r="T68">
        <v>123.98</v>
      </c>
      <c r="U68">
        <v>416.33</v>
      </c>
      <c r="V68">
        <v>793.58</v>
      </c>
      <c r="W68">
        <v>1366.7</v>
      </c>
      <c r="X68">
        <v>1041.8599999999999</v>
      </c>
      <c r="Y68">
        <v>59505.17</v>
      </c>
      <c r="Z68" t="s">
        <v>103</v>
      </c>
      <c r="AA68" t="s">
        <v>103</v>
      </c>
      <c r="AB68" t="s">
        <v>103</v>
      </c>
      <c r="AC68">
        <v>14.4247</v>
      </c>
      <c r="AD68">
        <v>14.7195</v>
      </c>
      <c r="AE68">
        <v>14.6669</v>
      </c>
      <c r="AF68">
        <v>12.85</v>
      </c>
      <c r="AG68">
        <v>1.5603</v>
      </c>
      <c r="AH68">
        <v>107.92</v>
      </c>
      <c r="AI68">
        <v>1.9841</v>
      </c>
      <c r="AJ68">
        <v>1.0246</v>
      </c>
      <c r="AK68">
        <v>6.0511999999999997</v>
      </c>
      <c r="AL68">
        <v>1.0469999999999999</v>
      </c>
      <c r="AM68">
        <v>198.14</v>
      </c>
      <c r="AN68">
        <v>126.44</v>
      </c>
      <c r="AO68">
        <v>120.2</v>
      </c>
      <c r="AP68">
        <v>91.63</v>
      </c>
      <c r="AQ68">
        <v>95.83</v>
      </c>
    </row>
    <row r="69" spans="1:43" x14ac:dyDescent="0.25">
      <c r="A69" s="1">
        <v>39689</v>
      </c>
      <c r="B69">
        <v>1.7102999999999999</v>
      </c>
      <c r="C69">
        <v>5.0739999999999998</v>
      </c>
      <c r="D69">
        <v>4.2919999999999998</v>
      </c>
      <c r="E69">
        <v>0.58299999999999996</v>
      </c>
      <c r="F69">
        <v>2.3668999999999998</v>
      </c>
      <c r="G69">
        <v>4.5046999999999997</v>
      </c>
      <c r="H69">
        <v>4.1109999999999998</v>
      </c>
      <c r="I69">
        <v>0.72599999999999998</v>
      </c>
      <c r="J69">
        <v>3.8115999999999999</v>
      </c>
      <c r="K69">
        <v>4.4795999999999996</v>
      </c>
      <c r="L69">
        <v>4.1760000000000002</v>
      </c>
      <c r="M69">
        <v>1.415</v>
      </c>
      <c r="N69">
        <v>20.65</v>
      </c>
      <c r="O69">
        <v>130.30199999999999</v>
      </c>
      <c r="P69">
        <v>77.381</v>
      </c>
      <c r="Q69">
        <v>90.498999999999995</v>
      </c>
      <c r="R69">
        <v>1.6315</v>
      </c>
      <c r="S69">
        <v>115.46</v>
      </c>
      <c r="T69">
        <v>114.05</v>
      </c>
      <c r="U69">
        <v>398.4</v>
      </c>
      <c r="V69">
        <v>734.14</v>
      </c>
      <c r="W69">
        <v>1344.87</v>
      </c>
      <c r="X69">
        <v>956.25</v>
      </c>
      <c r="Y69">
        <v>55680.41</v>
      </c>
      <c r="Z69" t="s">
        <v>103</v>
      </c>
      <c r="AA69" t="s">
        <v>103</v>
      </c>
      <c r="AB69" t="s">
        <v>103</v>
      </c>
      <c r="AC69">
        <v>13.9261</v>
      </c>
      <c r="AD69">
        <v>14.363200000000001</v>
      </c>
      <c r="AE69">
        <v>14.5916</v>
      </c>
      <c r="AF69">
        <v>12.82</v>
      </c>
      <c r="AG69">
        <v>1.4673</v>
      </c>
      <c r="AH69">
        <v>108.8</v>
      </c>
      <c r="AI69">
        <v>1.8210999999999999</v>
      </c>
      <c r="AJ69">
        <v>1.0637000000000001</v>
      </c>
      <c r="AK69">
        <v>6.4509999999999996</v>
      </c>
      <c r="AL69">
        <v>1.1012</v>
      </c>
      <c r="AM69">
        <v>195.58</v>
      </c>
      <c r="AN69">
        <v>124.58</v>
      </c>
      <c r="AO69">
        <v>118.8</v>
      </c>
      <c r="AP69">
        <v>91.83</v>
      </c>
      <c r="AQ69">
        <v>93.96</v>
      </c>
    </row>
    <row r="70" spans="1:43" x14ac:dyDescent="0.25">
      <c r="A70" s="1">
        <v>39721</v>
      </c>
      <c r="B70">
        <v>0.90439999999999998</v>
      </c>
      <c r="C70">
        <v>5.0739999999999998</v>
      </c>
      <c r="D70">
        <v>2.4529999999999998</v>
      </c>
      <c r="E70">
        <v>0.58499999999999996</v>
      </c>
      <c r="F70">
        <v>1.9599</v>
      </c>
      <c r="G70">
        <v>4.0117000000000003</v>
      </c>
      <c r="H70">
        <v>3.476</v>
      </c>
      <c r="I70">
        <v>0.76400000000000001</v>
      </c>
      <c r="J70">
        <v>3.8233999999999999</v>
      </c>
      <c r="K70">
        <v>4.4493</v>
      </c>
      <c r="L70">
        <v>4.0149999999999997</v>
      </c>
      <c r="M70">
        <v>1.472</v>
      </c>
      <c r="N70">
        <v>39.39</v>
      </c>
      <c r="O70">
        <v>173.333</v>
      </c>
      <c r="P70">
        <v>79.447999999999993</v>
      </c>
      <c r="Q70">
        <v>93.3797</v>
      </c>
      <c r="R70">
        <v>1.9046000000000001</v>
      </c>
      <c r="S70">
        <v>100.64</v>
      </c>
      <c r="T70">
        <v>98.17</v>
      </c>
      <c r="U70">
        <v>374.58</v>
      </c>
      <c r="V70">
        <v>673</v>
      </c>
      <c r="W70">
        <v>1182.44</v>
      </c>
      <c r="X70">
        <v>786.92</v>
      </c>
      <c r="Y70">
        <v>49541.27</v>
      </c>
      <c r="Z70" t="s">
        <v>103</v>
      </c>
      <c r="AA70" t="s">
        <v>103</v>
      </c>
      <c r="AB70" t="s">
        <v>103</v>
      </c>
      <c r="AC70">
        <v>14.3192</v>
      </c>
      <c r="AD70">
        <v>14.35</v>
      </c>
      <c r="AE70">
        <v>14.442500000000001</v>
      </c>
      <c r="AF70">
        <v>13.59</v>
      </c>
      <c r="AG70">
        <v>1.4092</v>
      </c>
      <c r="AH70">
        <v>106.11</v>
      </c>
      <c r="AI70">
        <v>1.7805</v>
      </c>
      <c r="AJ70">
        <v>1.0644</v>
      </c>
      <c r="AK70">
        <v>6.9180999999999999</v>
      </c>
      <c r="AL70">
        <v>1.1221000000000001</v>
      </c>
      <c r="AM70">
        <v>206.15</v>
      </c>
      <c r="AN70">
        <v>125.07</v>
      </c>
      <c r="AO70">
        <v>120.16</v>
      </c>
      <c r="AP70">
        <v>91.76</v>
      </c>
      <c r="AQ70">
        <v>93.07</v>
      </c>
    </row>
    <row r="71" spans="1:43" x14ac:dyDescent="0.25">
      <c r="A71" s="1">
        <v>39752</v>
      </c>
      <c r="B71">
        <v>0.436</v>
      </c>
      <c r="C71">
        <v>5.0739999999999998</v>
      </c>
      <c r="D71">
        <v>1.96</v>
      </c>
      <c r="E71">
        <v>0.38800000000000001</v>
      </c>
      <c r="F71">
        <v>1.548</v>
      </c>
      <c r="G71">
        <v>2.9253999999999998</v>
      </c>
      <c r="H71">
        <v>2.5419999999999998</v>
      </c>
      <c r="I71">
        <v>0.55300000000000005</v>
      </c>
      <c r="J71">
        <v>3.9529999999999998</v>
      </c>
      <c r="K71">
        <v>4.5239000000000003</v>
      </c>
      <c r="L71">
        <v>3.9</v>
      </c>
      <c r="M71">
        <v>1.476</v>
      </c>
      <c r="N71">
        <v>59.89</v>
      </c>
      <c r="O71">
        <v>316.32</v>
      </c>
      <c r="P71">
        <v>85.632999999999996</v>
      </c>
      <c r="Q71">
        <v>100.7111</v>
      </c>
      <c r="R71">
        <v>2.1589999999999998</v>
      </c>
      <c r="S71">
        <v>67.81</v>
      </c>
      <c r="T71">
        <v>65.319999999999993</v>
      </c>
      <c r="U71">
        <v>317.3</v>
      </c>
      <c r="V71">
        <v>483.51</v>
      </c>
      <c r="W71">
        <v>957.25</v>
      </c>
      <c r="X71">
        <v>570.52</v>
      </c>
      <c r="Y71">
        <v>37256.839999999997</v>
      </c>
      <c r="Z71" t="s">
        <v>103</v>
      </c>
      <c r="AA71" t="s">
        <v>103</v>
      </c>
      <c r="AB71" t="s">
        <v>103</v>
      </c>
      <c r="AC71">
        <v>16.966999999999999</v>
      </c>
      <c r="AD71">
        <v>16.251999999999999</v>
      </c>
      <c r="AE71">
        <v>15.4412</v>
      </c>
      <c r="AF71">
        <v>13.59</v>
      </c>
      <c r="AG71">
        <v>1.2726</v>
      </c>
      <c r="AH71">
        <v>98.47</v>
      </c>
      <c r="AI71">
        <v>1.6075999999999999</v>
      </c>
      <c r="AJ71">
        <v>1.2124999999999999</v>
      </c>
      <c r="AK71">
        <v>7.7713999999999999</v>
      </c>
      <c r="AL71">
        <v>1.1577999999999999</v>
      </c>
      <c r="AM71">
        <v>214.78</v>
      </c>
      <c r="AN71">
        <v>126.35</v>
      </c>
      <c r="AO71">
        <v>116.99</v>
      </c>
      <c r="AP71">
        <v>89.95</v>
      </c>
      <c r="AQ71">
        <v>93.21</v>
      </c>
    </row>
    <row r="72" spans="1:43" x14ac:dyDescent="0.25">
      <c r="A72" s="1">
        <v>39780</v>
      </c>
      <c r="B72">
        <v>4.0599999999999997E-2</v>
      </c>
      <c r="C72">
        <v>5.0739999999999998</v>
      </c>
      <c r="D72">
        <v>1.583</v>
      </c>
      <c r="E72">
        <v>0.50700000000000001</v>
      </c>
      <c r="F72">
        <v>0.98070000000000002</v>
      </c>
      <c r="G72">
        <v>2.2063000000000001</v>
      </c>
      <c r="H72">
        <v>2.1880000000000002</v>
      </c>
      <c r="I72">
        <v>0.60099999999999998</v>
      </c>
      <c r="J72">
        <v>2.92</v>
      </c>
      <c r="K72">
        <v>3.7679999999999998</v>
      </c>
      <c r="L72">
        <v>3.258</v>
      </c>
      <c r="M72">
        <v>1.399</v>
      </c>
      <c r="N72">
        <v>55.84</v>
      </c>
      <c r="O72">
        <v>324.82</v>
      </c>
      <c r="P72">
        <v>86.516999999999996</v>
      </c>
      <c r="Q72">
        <v>102.901</v>
      </c>
      <c r="R72">
        <v>2.3062999999999998</v>
      </c>
      <c r="S72">
        <v>54.43</v>
      </c>
      <c r="T72">
        <v>53.49</v>
      </c>
      <c r="U72">
        <v>294.63</v>
      </c>
      <c r="V72">
        <v>472.35</v>
      </c>
      <c r="W72">
        <v>892.93</v>
      </c>
      <c r="X72">
        <v>526.97</v>
      </c>
      <c r="Y72">
        <v>36595.870000000003</v>
      </c>
      <c r="Z72" t="s">
        <v>103</v>
      </c>
      <c r="AA72" t="s">
        <v>103</v>
      </c>
      <c r="AB72" t="s">
        <v>103</v>
      </c>
      <c r="AC72">
        <v>15.475</v>
      </c>
      <c r="AD72">
        <v>15.1396</v>
      </c>
      <c r="AE72">
        <v>14.4222</v>
      </c>
      <c r="AF72">
        <v>13.36</v>
      </c>
      <c r="AG72">
        <v>1.2690999999999999</v>
      </c>
      <c r="AH72">
        <v>95.53</v>
      </c>
      <c r="AI72">
        <v>1.5377000000000001</v>
      </c>
      <c r="AJ72">
        <v>1.2398</v>
      </c>
      <c r="AK72">
        <v>8.1019000000000005</v>
      </c>
      <c r="AL72">
        <v>1.2136</v>
      </c>
      <c r="AM72">
        <v>188.77</v>
      </c>
      <c r="AN72">
        <v>112.08</v>
      </c>
      <c r="AO72">
        <v>109.76</v>
      </c>
      <c r="AP72">
        <v>87.75</v>
      </c>
      <c r="AQ72">
        <v>87.45</v>
      </c>
    </row>
    <row r="73" spans="1:43" x14ac:dyDescent="0.25">
      <c r="A73" s="1">
        <v>39813</v>
      </c>
      <c r="B73">
        <v>7.6100000000000001E-2</v>
      </c>
      <c r="C73">
        <v>1.1479999999999999</v>
      </c>
      <c r="D73">
        <v>0.90100000000000002</v>
      </c>
      <c r="E73">
        <v>0.21199999999999999</v>
      </c>
      <c r="F73">
        <v>0.76429999999999998</v>
      </c>
      <c r="G73">
        <v>1.0483</v>
      </c>
      <c r="H73">
        <v>1.7549999999999999</v>
      </c>
      <c r="I73">
        <v>0.38500000000000001</v>
      </c>
      <c r="J73">
        <v>2.2122999999999999</v>
      </c>
      <c r="K73">
        <v>3.0196999999999998</v>
      </c>
      <c r="L73">
        <v>2.9510000000000001</v>
      </c>
      <c r="M73">
        <v>1.175</v>
      </c>
      <c r="N73">
        <v>40</v>
      </c>
      <c r="O73">
        <v>300.51</v>
      </c>
      <c r="P73">
        <v>81.308000000000007</v>
      </c>
      <c r="Q73">
        <v>103.4603</v>
      </c>
      <c r="R73">
        <v>2.3144999999999998</v>
      </c>
      <c r="S73">
        <v>44.6</v>
      </c>
      <c r="T73">
        <v>45.59</v>
      </c>
      <c r="U73">
        <v>294.2</v>
      </c>
      <c r="V73">
        <v>402.56</v>
      </c>
      <c r="W73">
        <v>920.23</v>
      </c>
      <c r="X73">
        <v>567.04</v>
      </c>
      <c r="Y73">
        <v>37550.31</v>
      </c>
      <c r="Z73" t="s">
        <v>103</v>
      </c>
      <c r="AA73" t="s">
        <v>103</v>
      </c>
      <c r="AB73" t="s">
        <v>103</v>
      </c>
      <c r="AC73">
        <v>12.682399999999999</v>
      </c>
      <c r="AD73">
        <v>12.193899999999999</v>
      </c>
      <c r="AE73">
        <v>12.19</v>
      </c>
      <c r="AF73">
        <v>13.62</v>
      </c>
      <c r="AG73">
        <v>1.3971</v>
      </c>
      <c r="AH73">
        <v>90.64</v>
      </c>
      <c r="AI73">
        <v>1.4593</v>
      </c>
      <c r="AJ73">
        <v>1.2188000000000001</v>
      </c>
      <c r="AK73">
        <v>7.8346999999999998</v>
      </c>
      <c r="AL73">
        <v>1.0687</v>
      </c>
      <c r="AM73">
        <v>139.22</v>
      </c>
      <c r="AN73">
        <v>92.2</v>
      </c>
      <c r="AO73">
        <v>97.68</v>
      </c>
      <c r="AP73">
        <v>85.32</v>
      </c>
      <c r="AQ73">
        <v>83.46</v>
      </c>
    </row>
    <row r="74" spans="1:43" x14ac:dyDescent="0.25">
      <c r="A74" s="1">
        <v>39843</v>
      </c>
      <c r="B74">
        <v>0.22620000000000001</v>
      </c>
      <c r="C74">
        <v>0.93</v>
      </c>
      <c r="D74">
        <v>1.1240000000000001</v>
      </c>
      <c r="E74">
        <v>0.29199999999999998</v>
      </c>
      <c r="F74">
        <v>0.94630000000000003</v>
      </c>
      <c r="G74">
        <v>1.5009999999999999</v>
      </c>
      <c r="H74">
        <v>1.532</v>
      </c>
      <c r="I74">
        <v>0.40600000000000003</v>
      </c>
      <c r="J74">
        <v>2.8403</v>
      </c>
      <c r="K74">
        <v>3.7037</v>
      </c>
      <c r="L74">
        <v>3.2959999999999998</v>
      </c>
      <c r="M74">
        <v>1.2969999999999999</v>
      </c>
      <c r="N74">
        <v>44.84</v>
      </c>
      <c r="O74">
        <v>344.95</v>
      </c>
      <c r="P74">
        <v>85.998999999999995</v>
      </c>
      <c r="Q74">
        <v>104.3126</v>
      </c>
      <c r="R74">
        <v>2.323</v>
      </c>
      <c r="S74">
        <v>41.68</v>
      </c>
      <c r="T74">
        <v>45.88</v>
      </c>
      <c r="U74">
        <v>299.22000000000003</v>
      </c>
      <c r="V74">
        <v>426.67</v>
      </c>
      <c r="W74">
        <v>838.83</v>
      </c>
      <c r="X74">
        <v>529.53</v>
      </c>
      <c r="Y74">
        <v>39300.79</v>
      </c>
      <c r="Z74" t="s">
        <v>103</v>
      </c>
      <c r="AA74" t="s">
        <v>103</v>
      </c>
      <c r="AB74" t="s">
        <v>103</v>
      </c>
      <c r="AC74">
        <v>11.8238</v>
      </c>
      <c r="AD74">
        <v>11.559699999999999</v>
      </c>
      <c r="AE74">
        <v>11.174200000000001</v>
      </c>
      <c r="AF74">
        <v>12.61</v>
      </c>
      <c r="AG74">
        <v>1.2813000000000001</v>
      </c>
      <c r="AH74">
        <v>89.92</v>
      </c>
      <c r="AI74">
        <v>1.454</v>
      </c>
      <c r="AJ74">
        <v>1.2296</v>
      </c>
      <c r="AK74">
        <v>8.3381000000000007</v>
      </c>
      <c r="AL74">
        <v>1.1618999999999999</v>
      </c>
      <c r="AM74">
        <v>134.6</v>
      </c>
      <c r="AN74">
        <v>91.67</v>
      </c>
      <c r="AO74">
        <v>99.73</v>
      </c>
      <c r="AP74">
        <v>85.18</v>
      </c>
      <c r="AQ74">
        <v>80.86</v>
      </c>
    </row>
    <row r="75" spans="1:43" x14ac:dyDescent="0.25">
      <c r="A75" s="1">
        <v>39871</v>
      </c>
      <c r="B75">
        <v>0.2465</v>
      </c>
      <c r="C75">
        <v>0.63</v>
      </c>
      <c r="D75">
        <v>0.78500000000000003</v>
      </c>
      <c r="E75">
        <v>0.28199999999999997</v>
      </c>
      <c r="F75">
        <v>0.97009999999999996</v>
      </c>
      <c r="G75">
        <v>1.4396</v>
      </c>
      <c r="H75">
        <v>1.3109999999999999</v>
      </c>
      <c r="I75">
        <v>0.40500000000000003</v>
      </c>
      <c r="J75">
        <v>3.0131000000000001</v>
      </c>
      <c r="K75">
        <v>3.6225999999999998</v>
      </c>
      <c r="L75">
        <v>3.1120000000000001</v>
      </c>
      <c r="M75">
        <v>1.28</v>
      </c>
      <c r="N75">
        <v>46.35</v>
      </c>
      <c r="O75">
        <v>400.57799999999997</v>
      </c>
      <c r="P75">
        <v>88.007999999999996</v>
      </c>
      <c r="Q75">
        <v>106.96429999999999</v>
      </c>
      <c r="R75">
        <v>2.3866000000000001</v>
      </c>
      <c r="S75">
        <v>44.76</v>
      </c>
      <c r="T75">
        <v>46.35</v>
      </c>
      <c r="U75">
        <v>280.02</v>
      </c>
      <c r="V75">
        <v>441.59</v>
      </c>
      <c r="W75">
        <v>750.86</v>
      </c>
      <c r="X75">
        <v>499.3</v>
      </c>
      <c r="Y75">
        <v>38183.31</v>
      </c>
      <c r="Z75" t="s">
        <v>103</v>
      </c>
      <c r="AA75" t="s">
        <v>103</v>
      </c>
      <c r="AB75" t="s">
        <v>103</v>
      </c>
      <c r="AC75">
        <v>11.1976</v>
      </c>
      <c r="AD75">
        <v>11.07</v>
      </c>
      <c r="AE75">
        <v>10.6229</v>
      </c>
      <c r="AF75">
        <v>12.6</v>
      </c>
      <c r="AG75">
        <v>1.2668999999999999</v>
      </c>
      <c r="AH75">
        <v>97.58</v>
      </c>
      <c r="AI75">
        <v>1.4318</v>
      </c>
      <c r="AJ75">
        <v>1.2763</v>
      </c>
      <c r="AK75">
        <v>9.0151000000000003</v>
      </c>
      <c r="AL75">
        <v>1.1689000000000001</v>
      </c>
      <c r="AM75">
        <v>123.63</v>
      </c>
      <c r="AN75">
        <v>88.63</v>
      </c>
      <c r="AO75">
        <v>102.05</v>
      </c>
      <c r="AP75">
        <v>85.87</v>
      </c>
      <c r="AQ75">
        <v>80.900000000000006</v>
      </c>
    </row>
    <row r="76" spans="1:43" x14ac:dyDescent="0.25">
      <c r="A76" s="1">
        <v>39903</v>
      </c>
      <c r="B76">
        <v>0.2009</v>
      </c>
      <c r="C76">
        <v>0.67200000000000004</v>
      </c>
      <c r="D76">
        <v>0.498</v>
      </c>
      <c r="E76">
        <v>0.251</v>
      </c>
      <c r="F76">
        <v>0.79600000000000004</v>
      </c>
      <c r="G76">
        <v>1.1928000000000001</v>
      </c>
      <c r="H76">
        <v>1.2350000000000001</v>
      </c>
      <c r="I76">
        <v>0.42</v>
      </c>
      <c r="J76">
        <v>2.6629</v>
      </c>
      <c r="K76">
        <v>3.1657000000000002</v>
      </c>
      <c r="L76">
        <v>2.9940000000000002</v>
      </c>
      <c r="M76">
        <v>1.353</v>
      </c>
      <c r="N76">
        <v>44.14</v>
      </c>
      <c r="O76">
        <v>325.25700000000001</v>
      </c>
      <c r="P76">
        <v>85.43</v>
      </c>
      <c r="Q76">
        <v>107.3343</v>
      </c>
      <c r="R76">
        <v>2.3228</v>
      </c>
      <c r="S76">
        <v>49.66</v>
      </c>
      <c r="T76">
        <v>49.23</v>
      </c>
      <c r="U76">
        <v>294.82</v>
      </c>
      <c r="V76">
        <v>466.14</v>
      </c>
      <c r="W76">
        <v>805.22</v>
      </c>
      <c r="X76">
        <v>569.97</v>
      </c>
      <c r="Y76">
        <v>40925.870000000003</v>
      </c>
      <c r="Z76" t="s">
        <v>103</v>
      </c>
      <c r="AA76" t="s">
        <v>103</v>
      </c>
      <c r="AB76" t="s">
        <v>103</v>
      </c>
      <c r="AC76">
        <v>10.789300000000001</v>
      </c>
      <c r="AD76">
        <v>10.462199999999999</v>
      </c>
      <c r="AE76">
        <v>9.7539999999999996</v>
      </c>
      <c r="AF76">
        <v>11.08</v>
      </c>
      <c r="AG76">
        <v>1.325</v>
      </c>
      <c r="AH76">
        <v>98.96</v>
      </c>
      <c r="AI76">
        <v>1.4322999999999999</v>
      </c>
      <c r="AJ76">
        <v>1.2602</v>
      </c>
      <c r="AK76">
        <v>8.2474000000000007</v>
      </c>
      <c r="AL76">
        <v>1.1394</v>
      </c>
      <c r="AM76">
        <v>141.16</v>
      </c>
      <c r="AN76">
        <v>103.19</v>
      </c>
      <c r="AO76">
        <v>102.51</v>
      </c>
      <c r="AP76">
        <v>86.33</v>
      </c>
      <c r="AQ76">
        <v>89.71</v>
      </c>
    </row>
    <row r="77" spans="1:43" x14ac:dyDescent="0.25">
      <c r="A77" s="1">
        <v>39933</v>
      </c>
      <c r="B77">
        <v>0.12470000000000001</v>
      </c>
      <c r="C77">
        <v>0.55200000000000005</v>
      </c>
      <c r="D77">
        <v>0.67400000000000004</v>
      </c>
      <c r="E77">
        <v>0.21099999999999999</v>
      </c>
      <c r="F77">
        <v>0.89870000000000005</v>
      </c>
      <c r="G77">
        <v>1.0548</v>
      </c>
      <c r="H77">
        <v>1.337</v>
      </c>
      <c r="I77">
        <v>0.39200000000000002</v>
      </c>
      <c r="J77">
        <v>3.1187</v>
      </c>
      <c r="K77">
        <v>3.5009999999999999</v>
      </c>
      <c r="L77">
        <v>3.1779999999999999</v>
      </c>
      <c r="M77">
        <v>1.4319999999999999</v>
      </c>
      <c r="N77">
        <v>36.5</v>
      </c>
      <c r="O77">
        <v>274.06900000000002</v>
      </c>
      <c r="P77">
        <v>84.614000000000004</v>
      </c>
      <c r="Q77">
        <v>103.65770000000001</v>
      </c>
      <c r="R77">
        <v>2.1903999999999999</v>
      </c>
      <c r="S77">
        <v>51.12</v>
      </c>
      <c r="T77">
        <v>50.8</v>
      </c>
      <c r="U77">
        <v>305.70999999999998</v>
      </c>
      <c r="V77">
        <v>512.82000000000005</v>
      </c>
      <c r="W77">
        <v>893.02</v>
      </c>
      <c r="X77">
        <v>662.73</v>
      </c>
      <c r="Y77">
        <v>47289.53</v>
      </c>
      <c r="Z77" t="s">
        <v>103</v>
      </c>
      <c r="AA77" t="s">
        <v>103</v>
      </c>
      <c r="AB77" t="s">
        <v>103</v>
      </c>
      <c r="AC77">
        <v>11.3492</v>
      </c>
      <c r="AD77">
        <v>10.7926</v>
      </c>
      <c r="AE77">
        <v>9.9026999999999994</v>
      </c>
      <c r="AF77">
        <v>10.119999999999999</v>
      </c>
      <c r="AG77">
        <v>1.323</v>
      </c>
      <c r="AH77">
        <v>98.63</v>
      </c>
      <c r="AI77">
        <v>1.4790000000000001</v>
      </c>
      <c r="AJ77">
        <v>1.1924999999999999</v>
      </c>
      <c r="AK77">
        <v>8.0479000000000003</v>
      </c>
      <c r="AL77">
        <v>1.1405000000000001</v>
      </c>
      <c r="AM77">
        <v>130.44999999999999</v>
      </c>
      <c r="AN77">
        <v>99.31</v>
      </c>
      <c r="AO77">
        <v>103.89</v>
      </c>
      <c r="AP77">
        <v>86.7</v>
      </c>
      <c r="AQ77">
        <v>86.4</v>
      </c>
    </row>
    <row r="78" spans="1:43" x14ac:dyDescent="0.25">
      <c r="A78" s="1">
        <v>39962</v>
      </c>
      <c r="B78">
        <v>0.1298</v>
      </c>
      <c r="C78">
        <v>0.55700000000000005</v>
      </c>
      <c r="D78">
        <v>0.754</v>
      </c>
      <c r="E78">
        <v>0.186</v>
      </c>
      <c r="F78">
        <v>0.91459999999999997</v>
      </c>
      <c r="G78">
        <v>1.0792999999999999</v>
      </c>
      <c r="H78">
        <v>1.419</v>
      </c>
      <c r="I78">
        <v>0.35899999999999999</v>
      </c>
      <c r="J78">
        <v>3.4594</v>
      </c>
      <c r="K78">
        <v>3.7465999999999999</v>
      </c>
      <c r="L78">
        <v>3.589</v>
      </c>
      <c r="M78">
        <v>1.49</v>
      </c>
      <c r="N78">
        <v>28.92</v>
      </c>
      <c r="O78">
        <v>191.023</v>
      </c>
      <c r="P78">
        <v>79.347999999999999</v>
      </c>
      <c r="Q78">
        <v>101.6853</v>
      </c>
      <c r="R78">
        <v>1.9702</v>
      </c>
      <c r="S78">
        <v>66.31</v>
      </c>
      <c r="T78">
        <v>65.52</v>
      </c>
      <c r="U78">
        <v>327.39999999999998</v>
      </c>
      <c r="V78">
        <v>542.84</v>
      </c>
      <c r="W78">
        <v>970</v>
      </c>
      <c r="X78">
        <v>773.12</v>
      </c>
      <c r="Y78">
        <v>53197.73</v>
      </c>
      <c r="Z78" t="s">
        <v>103</v>
      </c>
      <c r="AA78" t="s">
        <v>103</v>
      </c>
      <c r="AB78" t="s">
        <v>103</v>
      </c>
      <c r="AC78">
        <v>10.7422</v>
      </c>
      <c r="AD78">
        <v>10.1721</v>
      </c>
      <c r="AE78">
        <v>9.3272999999999993</v>
      </c>
      <c r="AF78">
        <v>10.01</v>
      </c>
      <c r="AG78">
        <v>1.4157999999999999</v>
      </c>
      <c r="AH78">
        <v>95.34</v>
      </c>
      <c r="AI78">
        <v>1.619</v>
      </c>
      <c r="AJ78">
        <v>1.0914999999999999</v>
      </c>
      <c r="AK78">
        <v>7.5457999999999998</v>
      </c>
      <c r="AL78">
        <v>1.0669</v>
      </c>
      <c r="AM78">
        <v>137.51</v>
      </c>
      <c r="AN78">
        <v>106.35</v>
      </c>
      <c r="AO78">
        <v>105.13</v>
      </c>
      <c r="AP78">
        <v>87.56</v>
      </c>
      <c r="AQ78">
        <v>87.32</v>
      </c>
    </row>
    <row r="79" spans="1:43" x14ac:dyDescent="0.25">
      <c r="A79" s="1">
        <v>39994</v>
      </c>
      <c r="B79">
        <v>0.17749999999999999</v>
      </c>
      <c r="C79">
        <v>0.54900000000000004</v>
      </c>
      <c r="D79">
        <v>0.58799999999999997</v>
      </c>
      <c r="E79">
        <v>0.16400000000000001</v>
      </c>
      <c r="F79">
        <v>1.1091</v>
      </c>
      <c r="G79">
        <v>1.3329</v>
      </c>
      <c r="H79">
        <v>1.365</v>
      </c>
      <c r="I79">
        <v>0.32</v>
      </c>
      <c r="J79">
        <v>3.5326</v>
      </c>
      <c r="K79">
        <v>3.6897000000000002</v>
      </c>
      <c r="L79">
        <v>3.3860000000000001</v>
      </c>
      <c r="M79">
        <v>1.359</v>
      </c>
      <c r="N79">
        <v>26.35</v>
      </c>
      <c r="O79">
        <v>176.48099999999999</v>
      </c>
      <c r="P79">
        <v>80.132999999999996</v>
      </c>
      <c r="Q79">
        <v>101.37350000000001</v>
      </c>
      <c r="R79">
        <v>1.9518</v>
      </c>
      <c r="S79">
        <v>69.89</v>
      </c>
      <c r="T79">
        <v>69.3</v>
      </c>
      <c r="U79">
        <v>303.89999999999998</v>
      </c>
      <c r="V79">
        <v>611.6</v>
      </c>
      <c r="W79">
        <v>964.05</v>
      </c>
      <c r="X79">
        <v>761.3</v>
      </c>
      <c r="Y79">
        <v>51465.46</v>
      </c>
      <c r="Z79" t="s">
        <v>103</v>
      </c>
      <c r="AA79" t="s">
        <v>103</v>
      </c>
      <c r="AB79" t="s">
        <v>103</v>
      </c>
      <c r="AC79">
        <v>11.4537</v>
      </c>
      <c r="AD79">
        <v>10.61</v>
      </c>
      <c r="AE79">
        <v>9.24</v>
      </c>
      <c r="AF79">
        <v>8.9600000000000009</v>
      </c>
      <c r="AG79">
        <v>1.4033</v>
      </c>
      <c r="AH79">
        <v>96.36</v>
      </c>
      <c r="AI79">
        <v>1.6457999999999999</v>
      </c>
      <c r="AJ79">
        <v>1.1623000000000001</v>
      </c>
      <c r="AK79">
        <v>7.7023999999999999</v>
      </c>
      <c r="AL79">
        <v>1.0859000000000001</v>
      </c>
      <c r="AM79">
        <v>143.49</v>
      </c>
      <c r="AN79">
        <v>107.43</v>
      </c>
      <c r="AO79">
        <v>106.67</v>
      </c>
      <c r="AP79">
        <v>88.18</v>
      </c>
      <c r="AQ79">
        <v>88.17</v>
      </c>
    </row>
    <row r="80" spans="1:43" x14ac:dyDescent="0.25">
      <c r="A80" s="1">
        <v>40025</v>
      </c>
      <c r="B80">
        <v>0.17549999999999999</v>
      </c>
      <c r="C80">
        <v>0.44500000000000001</v>
      </c>
      <c r="D80">
        <v>0.31</v>
      </c>
      <c r="E80">
        <v>0.16600000000000001</v>
      </c>
      <c r="F80">
        <v>1.1113</v>
      </c>
      <c r="G80">
        <v>1.2331000000000001</v>
      </c>
      <c r="H80">
        <v>1.2629999999999999</v>
      </c>
      <c r="I80">
        <v>0.28499999999999998</v>
      </c>
      <c r="J80">
        <v>3.4796</v>
      </c>
      <c r="K80">
        <v>3.8008999999999999</v>
      </c>
      <c r="L80">
        <v>3.3</v>
      </c>
      <c r="M80">
        <v>1.419</v>
      </c>
      <c r="N80">
        <v>25.92</v>
      </c>
      <c r="O80">
        <v>133.75700000000001</v>
      </c>
      <c r="P80">
        <v>78.346999999999994</v>
      </c>
      <c r="Q80">
        <v>101.367</v>
      </c>
      <c r="R80">
        <v>1.8651</v>
      </c>
      <c r="S80">
        <v>69.45</v>
      </c>
      <c r="T80">
        <v>71.7</v>
      </c>
      <c r="U80">
        <v>304.49</v>
      </c>
      <c r="V80">
        <v>671.41</v>
      </c>
      <c r="W80">
        <v>1044.75</v>
      </c>
      <c r="X80">
        <v>844.02</v>
      </c>
      <c r="Y80">
        <v>54765.72</v>
      </c>
      <c r="Z80" t="s">
        <v>103</v>
      </c>
      <c r="AA80" t="s">
        <v>103</v>
      </c>
      <c r="AB80" t="s">
        <v>103</v>
      </c>
      <c r="AC80">
        <v>11.4833</v>
      </c>
      <c r="AD80">
        <v>10.687900000000001</v>
      </c>
      <c r="AE80">
        <v>9.2531999999999996</v>
      </c>
      <c r="AF80">
        <v>8.61</v>
      </c>
      <c r="AG80">
        <v>1.4257</v>
      </c>
      <c r="AH80">
        <v>94.68</v>
      </c>
      <c r="AI80">
        <v>1.6713</v>
      </c>
      <c r="AJ80">
        <v>1.0775999999999999</v>
      </c>
      <c r="AK80">
        <v>7.1914999999999996</v>
      </c>
      <c r="AL80">
        <v>1.0685</v>
      </c>
      <c r="AM80">
        <v>151.28</v>
      </c>
      <c r="AN80">
        <v>113.86</v>
      </c>
      <c r="AO80">
        <v>108.01</v>
      </c>
      <c r="AP80">
        <v>88.31</v>
      </c>
      <c r="AQ80">
        <v>92.25</v>
      </c>
    </row>
    <row r="81" spans="1:43" x14ac:dyDescent="0.25">
      <c r="A81" s="1">
        <v>40056</v>
      </c>
      <c r="B81">
        <v>0.1268</v>
      </c>
      <c r="C81">
        <v>0.4</v>
      </c>
      <c r="D81">
        <v>0.32100000000000001</v>
      </c>
      <c r="E81">
        <v>0.159</v>
      </c>
      <c r="F81">
        <v>0.96830000000000005</v>
      </c>
      <c r="G81">
        <v>0.86680000000000001</v>
      </c>
      <c r="H81">
        <v>1.244</v>
      </c>
      <c r="I81">
        <v>0.254</v>
      </c>
      <c r="J81">
        <v>3.3975</v>
      </c>
      <c r="K81">
        <v>3.5556999999999999</v>
      </c>
      <c r="L81">
        <v>3.2570000000000001</v>
      </c>
      <c r="M81">
        <v>1.31</v>
      </c>
      <c r="N81">
        <v>26.01</v>
      </c>
      <c r="O81">
        <v>137.755</v>
      </c>
      <c r="P81">
        <v>78.171999999999997</v>
      </c>
      <c r="Q81">
        <v>100.29900000000001</v>
      </c>
      <c r="R81">
        <v>1.8804000000000001</v>
      </c>
      <c r="S81">
        <v>69.959999999999994</v>
      </c>
      <c r="T81">
        <v>69.650000000000006</v>
      </c>
      <c r="U81">
        <v>303.13</v>
      </c>
      <c r="V81">
        <v>712.42</v>
      </c>
      <c r="W81">
        <v>1085.5999999999999</v>
      </c>
      <c r="X81">
        <v>839.46</v>
      </c>
      <c r="Y81">
        <v>56488.98</v>
      </c>
      <c r="Z81" t="s">
        <v>103</v>
      </c>
      <c r="AA81" t="s">
        <v>103</v>
      </c>
      <c r="AB81" t="s">
        <v>103</v>
      </c>
      <c r="AC81">
        <v>11.617100000000001</v>
      </c>
      <c r="AD81">
        <v>10.752700000000001</v>
      </c>
      <c r="AE81">
        <v>9.2146000000000008</v>
      </c>
      <c r="AF81">
        <v>8.6199999999999992</v>
      </c>
      <c r="AG81">
        <v>1.4334</v>
      </c>
      <c r="AH81">
        <v>93.12</v>
      </c>
      <c r="AI81">
        <v>1.6288</v>
      </c>
      <c r="AJ81">
        <v>1.0938000000000001</v>
      </c>
      <c r="AK81">
        <v>7.1188000000000002</v>
      </c>
      <c r="AL81">
        <v>1.0589999999999999</v>
      </c>
      <c r="AM81">
        <v>152.47</v>
      </c>
      <c r="AN81">
        <v>116.1</v>
      </c>
      <c r="AO81">
        <v>109.7</v>
      </c>
      <c r="AP81">
        <v>89.75</v>
      </c>
      <c r="AQ81">
        <v>91.74</v>
      </c>
    </row>
    <row r="82" spans="1:43" x14ac:dyDescent="0.25">
      <c r="A82" s="1">
        <v>40086</v>
      </c>
      <c r="B82">
        <v>0.1075</v>
      </c>
      <c r="C82">
        <v>0.41399999999999998</v>
      </c>
      <c r="D82">
        <v>0.32800000000000001</v>
      </c>
      <c r="E82">
        <v>0.157</v>
      </c>
      <c r="F82">
        <v>0.9446</v>
      </c>
      <c r="G82">
        <v>0.88190000000000002</v>
      </c>
      <c r="H82">
        <v>1.2649999999999999</v>
      </c>
      <c r="I82">
        <v>0.25</v>
      </c>
      <c r="J82">
        <v>3.3052999999999999</v>
      </c>
      <c r="K82">
        <v>3.5922999999999998</v>
      </c>
      <c r="L82">
        <v>3.22</v>
      </c>
      <c r="M82">
        <v>1.3009999999999999</v>
      </c>
      <c r="N82">
        <v>25.61</v>
      </c>
      <c r="O82">
        <v>126.631</v>
      </c>
      <c r="P82">
        <v>76.653000000000006</v>
      </c>
      <c r="Q82">
        <v>100.51949999999999</v>
      </c>
      <c r="R82">
        <v>1.7669999999999999</v>
      </c>
      <c r="S82">
        <v>70.61</v>
      </c>
      <c r="T82">
        <v>69.069999999999993</v>
      </c>
      <c r="U82">
        <v>305.95999999999998</v>
      </c>
      <c r="V82">
        <v>674.08</v>
      </c>
      <c r="W82">
        <v>1126.98</v>
      </c>
      <c r="X82">
        <v>914.05</v>
      </c>
      <c r="Y82">
        <v>61517.89</v>
      </c>
      <c r="Z82" t="s">
        <v>103</v>
      </c>
      <c r="AA82" t="s">
        <v>103</v>
      </c>
      <c r="AB82" t="s">
        <v>103</v>
      </c>
      <c r="AC82">
        <v>11.869</v>
      </c>
      <c r="AD82">
        <v>11.27</v>
      </c>
      <c r="AE82">
        <v>9.68</v>
      </c>
      <c r="AF82">
        <v>8.6</v>
      </c>
      <c r="AG82">
        <v>1.464</v>
      </c>
      <c r="AH82">
        <v>89.71</v>
      </c>
      <c r="AI82">
        <v>1.5982000000000001</v>
      </c>
      <c r="AJ82">
        <v>1.0694999999999999</v>
      </c>
      <c r="AK82">
        <v>6.9607999999999999</v>
      </c>
      <c r="AL82">
        <v>1.0363</v>
      </c>
      <c r="AM82">
        <v>163.74</v>
      </c>
      <c r="AN82">
        <v>115.88</v>
      </c>
      <c r="AO82">
        <v>111.2</v>
      </c>
      <c r="AP82">
        <v>90.46</v>
      </c>
      <c r="AQ82">
        <v>91.11</v>
      </c>
    </row>
    <row r="83" spans="1:43" x14ac:dyDescent="0.25">
      <c r="A83" s="1">
        <v>40116</v>
      </c>
      <c r="B83">
        <v>4.4600000000000001E-2</v>
      </c>
      <c r="C83">
        <v>0.42799999999999999</v>
      </c>
      <c r="D83">
        <v>0.36599999999999999</v>
      </c>
      <c r="E83">
        <v>0.16600000000000001</v>
      </c>
      <c r="F83">
        <v>0.8891</v>
      </c>
      <c r="G83">
        <v>0.85699999999999998</v>
      </c>
      <c r="H83">
        <v>1.288</v>
      </c>
      <c r="I83">
        <v>0.26400000000000001</v>
      </c>
      <c r="J83">
        <v>3.3828</v>
      </c>
      <c r="K83">
        <v>3.6193</v>
      </c>
      <c r="L83">
        <v>3.2309999999999999</v>
      </c>
      <c r="M83">
        <v>1.415</v>
      </c>
      <c r="N83">
        <v>30.69</v>
      </c>
      <c r="O83">
        <v>137.51300000000001</v>
      </c>
      <c r="P83">
        <v>76.3</v>
      </c>
      <c r="Q83">
        <v>99.186400000000006</v>
      </c>
      <c r="R83">
        <v>1.7612000000000001</v>
      </c>
      <c r="S83">
        <v>77</v>
      </c>
      <c r="T83">
        <v>75.2</v>
      </c>
      <c r="U83">
        <v>325.57</v>
      </c>
      <c r="V83">
        <v>712.98</v>
      </c>
      <c r="W83">
        <v>1106.17</v>
      </c>
      <c r="X83">
        <v>914.26</v>
      </c>
      <c r="Y83">
        <v>61545.5</v>
      </c>
      <c r="Z83" t="s">
        <v>103</v>
      </c>
      <c r="AA83" t="s">
        <v>103</v>
      </c>
      <c r="AB83" t="s">
        <v>103</v>
      </c>
      <c r="AC83">
        <v>12.3215</v>
      </c>
      <c r="AD83">
        <v>11.506500000000001</v>
      </c>
      <c r="AE83">
        <v>9.9944000000000006</v>
      </c>
      <c r="AF83">
        <v>8.6199999999999992</v>
      </c>
      <c r="AG83">
        <v>1.4719</v>
      </c>
      <c r="AH83">
        <v>90.09</v>
      </c>
      <c r="AI83">
        <v>1.6453</v>
      </c>
      <c r="AJ83">
        <v>1.0848</v>
      </c>
      <c r="AK83">
        <v>7.0956999999999999</v>
      </c>
      <c r="AL83">
        <v>1.0263</v>
      </c>
      <c r="AM83">
        <v>178.58</v>
      </c>
      <c r="AN83">
        <v>123.07</v>
      </c>
      <c r="AO83">
        <v>113.68</v>
      </c>
      <c r="AP83">
        <v>91.19</v>
      </c>
      <c r="AQ83">
        <v>92.99</v>
      </c>
    </row>
    <row r="84" spans="1:43" x14ac:dyDescent="0.25">
      <c r="A84" s="1">
        <v>40147</v>
      </c>
      <c r="B84">
        <v>4.6600000000000003E-2</v>
      </c>
      <c r="C84">
        <v>0.48299999999999998</v>
      </c>
      <c r="D84">
        <v>0.40799999999999997</v>
      </c>
      <c r="E84">
        <v>0.16800000000000001</v>
      </c>
      <c r="F84">
        <v>0.66320000000000001</v>
      </c>
      <c r="G84">
        <v>1.1752</v>
      </c>
      <c r="H84">
        <v>1.2569999999999999</v>
      </c>
      <c r="I84">
        <v>0.23400000000000001</v>
      </c>
      <c r="J84">
        <v>3.1978</v>
      </c>
      <c r="K84">
        <v>3.5230000000000001</v>
      </c>
      <c r="L84">
        <v>3.1589999999999998</v>
      </c>
      <c r="M84">
        <v>1.266</v>
      </c>
      <c r="N84">
        <v>24.51</v>
      </c>
      <c r="O84">
        <v>129.149</v>
      </c>
      <c r="P84">
        <v>74.879000000000005</v>
      </c>
      <c r="Q84">
        <v>98.813199999999995</v>
      </c>
      <c r="R84">
        <v>1.7557</v>
      </c>
      <c r="S84">
        <v>77.28</v>
      </c>
      <c r="T84">
        <v>78.47</v>
      </c>
      <c r="U84">
        <v>348.15</v>
      </c>
      <c r="V84">
        <v>720</v>
      </c>
      <c r="W84">
        <v>1149.01</v>
      </c>
      <c r="X84">
        <v>953.13</v>
      </c>
      <c r="Y84">
        <v>67044.44</v>
      </c>
      <c r="Z84" t="s">
        <v>103</v>
      </c>
      <c r="AA84" t="s">
        <v>103</v>
      </c>
      <c r="AB84" t="s">
        <v>103</v>
      </c>
      <c r="AC84">
        <v>12.536899999999999</v>
      </c>
      <c r="AD84">
        <v>11.7643</v>
      </c>
      <c r="AE84">
        <v>10.1524</v>
      </c>
      <c r="AF84">
        <v>8.6199999999999992</v>
      </c>
      <c r="AG84">
        <v>1.5004999999999999</v>
      </c>
      <c r="AH84">
        <v>86.41</v>
      </c>
      <c r="AI84">
        <v>1.6439999999999999</v>
      </c>
      <c r="AJ84">
        <v>1.0563</v>
      </c>
      <c r="AK84">
        <v>6.976</v>
      </c>
      <c r="AL84">
        <v>1.0053000000000001</v>
      </c>
      <c r="AM84">
        <v>184.12</v>
      </c>
      <c r="AN84">
        <v>118.14</v>
      </c>
      <c r="AO84">
        <v>115.1</v>
      </c>
      <c r="AP84">
        <v>91.29</v>
      </c>
      <c r="AQ84">
        <v>90.98</v>
      </c>
    </row>
    <row r="85" spans="1:43" x14ac:dyDescent="0.25">
      <c r="A85" s="1">
        <v>40178</v>
      </c>
      <c r="B85">
        <v>4.7699999999999999E-2</v>
      </c>
      <c r="C85">
        <v>0.46300000000000002</v>
      </c>
      <c r="D85">
        <v>0.30599999999999999</v>
      </c>
      <c r="E85">
        <v>0.13900000000000001</v>
      </c>
      <c r="F85">
        <v>1.1354</v>
      </c>
      <c r="G85">
        <v>1.3149</v>
      </c>
      <c r="H85">
        <v>1.331</v>
      </c>
      <c r="I85">
        <v>0.152</v>
      </c>
      <c r="J85">
        <v>3.8368000000000002</v>
      </c>
      <c r="K85">
        <v>4.0149999999999997</v>
      </c>
      <c r="L85">
        <v>3.387</v>
      </c>
      <c r="M85">
        <v>1.2949999999999999</v>
      </c>
      <c r="N85">
        <v>21.68</v>
      </c>
      <c r="O85">
        <v>122.52</v>
      </c>
      <c r="P85">
        <v>77.86</v>
      </c>
      <c r="Q85">
        <v>98.533100000000005</v>
      </c>
      <c r="R85">
        <v>1.7444999999999999</v>
      </c>
      <c r="S85">
        <v>79.36</v>
      </c>
      <c r="T85">
        <v>77.930000000000007</v>
      </c>
      <c r="U85">
        <v>344.7</v>
      </c>
      <c r="V85">
        <v>809.14</v>
      </c>
      <c r="W85">
        <v>1168.47</v>
      </c>
      <c r="X85">
        <v>989.47</v>
      </c>
      <c r="Y85">
        <v>68588.41</v>
      </c>
      <c r="Z85" t="s">
        <v>103</v>
      </c>
      <c r="AA85" t="s">
        <v>103</v>
      </c>
      <c r="AB85" t="s">
        <v>103</v>
      </c>
      <c r="AC85">
        <v>12.4259</v>
      </c>
      <c r="AD85">
        <v>11.86</v>
      </c>
      <c r="AE85">
        <v>10.4725</v>
      </c>
      <c r="AF85">
        <v>8.5500000000000007</v>
      </c>
      <c r="AG85">
        <v>1.4320999999999999</v>
      </c>
      <c r="AH85">
        <v>93.03</v>
      </c>
      <c r="AI85">
        <v>1.617</v>
      </c>
      <c r="AJ85">
        <v>1.0531999999999999</v>
      </c>
      <c r="AK85">
        <v>7.1608999999999998</v>
      </c>
      <c r="AL85">
        <v>1.0351999999999999</v>
      </c>
      <c r="AM85">
        <v>171.34</v>
      </c>
      <c r="AN85">
        <v>109.63</v>
      </c>
      <c r="AO85">
        <v>115.55</v>
      </c>
      <c r="AP85">
        <v>92.66</v>
      </c>
      <c r="AQ85">
        <v>90.71</v>
      </c>
    </row>
    <row r="86" spans="1:43" x14ac:dyDescent="0.25">
      <c r="A86" s="1">
        <v>40207</v>
      </c>
      <c r="B86">
        <v>6.9000000000000006E-2</v>
      </c>
      <c r="C86">
        <v>0.55300000000000005</v>
      </c>
      <c r="D86">
        <v>0.27800000000000002</v>
      </c>
      <c r="E86">
        <v>0.126</v>
      </c>
      <c r="F86">
        <v>0.81179999999999997</v>
      </c>
      <c r="G86">
        <v>1.2549999999999999</v>
      </c>
      <c r="H86">
        <v>1.119</v>
      </c>
      <c r="I86">
        <v>0.16400000000000001</v>
      </c>
      <c r="J86">
        <v>3.5844</v>
      </c>
      <c r="K86">
        <v>3.9114</v>
      </c>
      <c r="L86">
        <v>3.1960000000000002</v>
      </c>
      <c r="M86">
        <v>1.325</v>
      </c>
      <c r="N86">
        <v>24.62</v>
      </c>
      <c r="O86">
        <v>144.02000000000001</v>
      </c>
      <c r="P86">
        <v>79.462000000000003</v>
      </c>
      <c r="Q86">
        <v>98.100499999999997</v>
      </c>
      <c r="R86">
        <v>1.895</v>
      </c>
      <c r="S86">
        <v>72.89</v>
      </c>
      <c r="T86">
        <v>71.459999999999994</v>
      </c>
      <c r="U86">
        <v>342.23</v>
      </c>
      <c r="V86">
        <v>775.51</v>
      </c>
      <c r="W86">
        <v>1119.54</v>
      </c>
      <c r="X86">
        <v>933.59</v>
      </c>
      <c r="Y86">
        <v>65401.77</v>
      </c>
      <c r="Z86" t="s">
        <v>103</v>
      </c>
      <c r="AA86" t="s">
        <v>103</v>
      </c>
      <c r="AB86" t="s">
        <v>103</v>
      </c>
      <c r="AC86">
        <v>12.368600000000001</v>
      </c>
      <c r="AD86">
        <v>11.798299999999999</v>
      </c>
      <c r="AE86">
        <v>10.510999999999999</v>
      </c>
      <c r="AF86">
        <v>8.6300000000000008</v>
      </c>
      <c r="AG86">
        <v>1.3863000000000001</v>
      </c>
      <c r="AH86">
        <v>90.27</v>
      </c>
      <c r="AI86">
        <v>1.5986</v>
      </c>
      <c r="AJ86">
        <v>1.0704</v>
      </c>
      <c r="AK86">
        <v>7.3876999999999997</v>
      </c>
      <c r="AL86">
        <v>1.0606</v>
      </c>
      <c r="AM86">
        <v>151.49</v>
      </c>
      <c r="AN86">
        <v>106.29</v>
      </c>
      <c r="AO86">
        <v>117.26</v>
      </c>
      <c r="AP86">
        <v>94.03</v>
      </c>
      <c r="AQ86">
        <v>88.31</v>
      </c>
    </row>
    <row r="87" spans="1:43" x14ac:dyDescent="0.25">
      <c r="A87" s="1">
        <v>40235</v>
      </c>
      <c r="B87">
        <v>0.11459999999999999</v>
      </c>
      <c r="C87">
        <v>0.47299999999999998</v>
      </c>
      <c r="D87">
        <v>0.249</v>
      </c>
      <c r="E87">
        <v>0.13600000000000001</v>
      </c>
      <c r="F87">
        <v>0.81179999999999997</v>
      </c>
      <c r="G87">
        <v>0.94369999999999998</v>
      </c>
      <c r="H87">
        <v>0.95499999999999996</v>
      </c>
      <c r="I87">
        <v>0.16500000000000001</v>
      </c>
      <c r="J87">
        <v>3.6116999999999999</v>
      </c>
      <c r="K87">
        <v>4.0312999999999999</v>
      </c>
      <c r="L87">
        <v>3.101</v>
      </c>
      <c r="M87">
        <v>1.3049999999999999</v>
      </c>
      <c r="N87">
        <v>19.5</v>
      </c>
      <c r="O87">
        <v>130.15700000000001</v>
      </c>
      <c r="P87">
        <v>80.361999999999995</v>
      </c>
      <c r="Q87">
        <v>98.778099999999995</v>
      </c>
      <c r="R87">
        <v>1.8076000000000001</v>
      </c>
      <c r="S87">
        <v>79.66</v>
      </c>
      <c r="T87">
        <v>77.59</v>
      </c>
      <c r="U87">
        <v>354.7</v>
      </c>
      <c r="V87">
        <v>787.2</v>
      </c>
      <c r="W87">
        <v>1133.3499999999999</v>
      </c>
      <c r="X87">
        <v>935.93</v>
      </c>
      <c r="Y87">
        <v>66503.27</v>
      </c>
      <c r="Z87" t="s">
        <v>103</v>
      </c>
      <c r="AA87" t="s">
        <v>103</v>
      </c>
      <c r="AB87" t="s">
        <v>103</v>
      </c>
      <c r="AC87">
        <v>12.1076</v>
      </c>
      <c r="AD87">
        <v>11.766400000000001</v>
      </c>
      <c r="AE87">
        <v>10.780200000000001</v>
      </c>
      <c r="AF87">
        <v>8.6199999999999992</v>
      </c>
      <c r="AG87">
        <v>1.3631</v>
      </c>
      <c r="AH87">
        <v>88.97</v>
      </c>
      <c r="AI87">
        <v>1.5238</v>
      </c>
      <c r="AJ87">
        <v>1.0517000000000001</v>
      </c>
      <c r="AK87">
        <v>7.1223000000000001</v>
      </c>
      <c r="AL87">
        <v>1.0734999999999999</v>
      </c>
      <c r="AM87">
        <v>154.82</v>
      </c>
      <c r="AN87">
        <v>103.66</v>
      </c>
      <c r="AO87">
        <v>117.06</v>
      </c>
      <c r="AP87">
        <v>94.95</v>
      </c>
      <c r="AQ87">
        <v>89.57</v>
      </c>
    </row>
    <row r="88" spans="1:43" x14ac:dyDescent="0.25">
      <c r="A88" s="1">
        <v>40268</v>
      </c>
      <c r="B88">
        <v>0.15010000000000001</v>
      </c>
      <c r="C88">
        <v>0.57099999999999995</v>
      </c>
      <c r="D88">
        <v>0.28399999999999997</v>
      </c>
      <c r="E88">
        <v>0.13500000000000001</v>
      </c>
      <c r="F88">
        <v>1.0158</v>
      </c>
      <c r="G88">
        <v>1.1574</v>
      </c>
      <c r="H88">
        <v>0.95799999999999996</v>
      </c>
      <c r="I88">
        <v>0.18099999999999999</v>
      </c>
      <c r="J88">
        <v>3.8256999999999999</v>
      </c>
      <c r="K88">
        <v>3.9388000000000001</v>
      </c>
      <c r="L88">
        <v>3.0920000000000001</v>
      </c>
      <c r="M88">
        <v>1.4</v>
      </c>
      <c r="N88">
        <v>17.59</v>
      </c>
      <c r="O88">
        <v>130.536</v>
      </c>
      <c r="P88">
        <v>81.072999999999993</v>
      </c>
      <c r="Q88">
        <v>97.564499999999995</v>
      </c>
      <c r="R88">
        <v>1.7813000000000001</v>
      </c>
      <c r="S88">
        <v>83.76</v>
      </c>
      <c r="T88">
        <v>82.7</v>
      </c>
      <c r="U88">
        <v>344.27</v>
      </c>
      <c r="V88">
        <v>846.3</v>
      </c>
      <c r="W88">
        <v>1200.53</v>
      </c>
      <c r="X88">
        <v>1010.33</v>
      </c>
      <c r="Y88">
        <v>70371.539999999994</v>
      </c>
      <c r="Z88" t="s">
        <v>103</v>
      </c>
      <c r="AA88" t="s">
        <v>103</v>
      </c>
      <c r="AB88" t="s">
        <v>103</v>
      </c>
      <c r="AC88">
        <v>12.067</v>
      </c>
      <c r="AD88">
        <v>11.8276</v>
      </c>
      <c r="AE88">
        <v>10.844099999999999</v>
      </c>
      <c r="AF88">
        <v>8.61</v>
      </c>
      <c r="AG88">
        <v>1.351</v>
      </c>
      <c r="AH88">
        <v>93.47</v>
      </c>
      <c r="AI88">
        <v>1.5184</v>
      </c>
      <c r="AJ88">
        <v>1.0153000000000001</v>
      </c>
      <c r="AK88">
        <v>7.2186000000000003</v>
      </c>
      <c r="AL88">
        <v>1.0539000000000001</v>
      </c>
      <c r="AM88">
        <v>196.93</v>
      </c>
      <c r="AN88">
        <v>122.45</v>
      </c>
      <c r="AO88">
        <v>119.77</v>
      </c>
      <c r="AP88">
        <v>95.85</v>
      </c>
      <c r="AQ88">
        <v>100.68</v>
      </c>
    </row>
    <row r="89" spans="1:43" x14ac:dyDescent="0.25">
      <c r="A89" s="1">
        <v>40298</v>
      </c>
      <c r="B89">
        <v>0.1542</v>
      </c>
      <c r="C89">
        <v>0.51400000000000001</v>
      </c>
      <c r="D89">
        <v>0.20699999999999999</v>
      </c>
      <c r="E89">
        <v>0.13800000000000001</v>
      </c>
      <c r="F89">
        <v>0.96030000000000004</v>
      </c>
      <c r="G89">
        <v>1.1299999999999999</v>
      </c>
      <c r="H89">
        <v>0.77100000000000002</v>
      </c>
      <c r="I89">
        <v>0.17</v>
      </c>
      <c r="J89">
        <v>3.6532</v>
      </c>
      <c r="K89">
        <v>3.8517999999999999</v>
      </c>
      <c r="L89">
        <v>3.0169999999999999</v>
      </c>
      <c r="M89">
        <v>1.29</v>
      </c>
      <c r="N89">
        <v>22.05</v>
      </c>
      <c r="O89">
        <v>123.68300000000001</v>
      </c>
      <c r="P89">
        <v>81.866</v>
      </c>
      <c r="Q89">
        <v>96.369799999999998</v>
      </c>
      <c r="R89">
        <v>1.7394000000000001</v>
      </c>
      <c r="S89">
        <v>86.15</v>
      </c>
      <c r="T89">
        <v>87.44</v>
      </c>
      <c r="U89">
        <v>364.62</v>
      </c>
      <c r="V89">
        <v>832.76</v>
      </c>
      <c r="W89">
        <v>1198.56</v>
      </c>
      <c r="X89">
        <v>1020.03</v>
      </c>
      <c r="Y89">
        <v>67529.73</v>
      </c>
      <c r="Z89" t="s">
        <v>103</v>
      </c>
      <c r="AA89" t="s">
        <v>103</v>
      </c>
      <c r="AB89" t="s">
        <v>103</v>
      </c>
      <c r="AC89">
        <v>12.610799999999999</v>
      </c>
      <c r="AD89">
        <v>12.4765</v>
      </c>
      <c r="AE89">
        <v>11.705</v>
      </c>
      <c r="AF89">
        <v>9.3800000000000008</v>
      </c>
      <c r="AG89">
        <v>1.3293999999999999</v>
      </c>
      <c r="AH89">
        <v>93.85</v>
      </c>
      <c r="AI89">
        <v>1.5274000000000001</v>
      </c>
      <c r="AJ89">
        <v>1.0179</v>
      </c>
      <c r="AK89">
        <v>7.2519</v>
      </c>
      <c r="AL89">
        <v>1.0775999999999999</v>
      </c>
      <c r="AM89">
        <v>177.97</v>
      </c>
      <c r="AN89">
        <v>115.72</v>
      </c>
      <c r="AO89">
        <v>120.19</v>
      </c>
      <c r="AP89">
        <v>96.35</v>
      </c>
      <c r="AQ89">
        <v>96.07</v>
      </c>
    </row>
    <row r="90" spans="1:43" x14ac:dyDescent="0.25">
      <c r="A90" s="1">
        <v>40329</v>
      </c>
      <c r="B90">
        <v>0.15210000000000001</v>
      </c>
      <c r="C90">
        <v>0.52</v>
      </c>
      <c r="D90">
        <v>0.186</v>
      </c>
      <c r="E90">
        <v>0.127</v>
      </c>
      <c r="F90">
        <v>0.76580000000000004</v>
      </c>
      <c r="G90">
        <v>0.88360000000000005</v>
      </c>
      <c r="H90">
        <v>0.51400000000000001</v>
      </c>
      <c r="I90">
        <v>0.17</v>
      </c>
      <c r="J90">
        <v>3.2848000000000002</v>
      </c>
      <c r="K90">
        <v>3.5808</v>
      </c>
      <c r="L90">
        <v>2.66</v>
      </c>
      <c r="M90">
        <v>1.2649999999999999</v>
      </c>
      <c r="N90">
        <v>32.07</v>
      </c>
      <c r="O90">
        <v>135.833</v>
      </c>
      <c r="P90">
        <v>86.587999999999994</v>
      </c>
      <c r="Q90">
        <v>98.212800000000001</v>
      </c>
      <c r="R90">
        <v>1.8209</v>
      </c>
      <c r="S90">
        <v>73.97</v>
      </c>
      <c r="T90">
        <v>74.650000000000006</v>
      </c>
      <c r="U90">
        <v>354.42</v>
      </c>
      <c r="V90">
        <v>742.37</v>
      </c>
      <c r="W90">
        <v>1079.8</v>
      </c>
      <c r="X90">
        <v>926.4</v>
      </c>
      <c r="Y90">
        <v>63046.51</v>
      </c>
      <c r="Z90" t="s">
        <v>103</v>
      </c>
      <c r="AA90" t="s">
        <v>103</v>
      </c>
      <c r="AB90" t="s">
        <v>103</v>
      </c>
      <c r="AC90">
        <v>12.216900000000001</v>
      </c>
      <c r="AD90">
        <v>12.173999999999999</v>
      </c>
      <c r="AE90">
        <v>11.576700000000001</v>
      </c>
      <c r="AF90">
        <v>9.3699999999999992</v>
      </c>
      <c r="AG90">
        <v>1.2305999999999999</v>
      </c>
      <c r="AH90">
        <v>91.27</v>
      </c>
      <c r="AI90">
        <v>1.4538</v>
      </c>
      <c r="AJ90">
        <v>1.0445</v>
      </c>
      <c r="AK90">
        <v>7.8105000000000002</v>
      </c>
      <c r="AL90">
        <v>1.1549</v>
      </c>
      <c r="AM90">
        <v>188.12</v>
      </c>
      <c r="AN90">
        <v>121.52</v>
      </c>
      <c r="AO90">
        <v>119.83</v>
      </c>
      <c r="AP90">
        <v>95.61</v>
      </c>
      <c r="AQ90">
        <v>95.82</v>
      </c>
    </row>
    <row r="91" spans="1:43" x14ac:dyDescent="0.25">
      <c r="A91" s="1">
        <v>40359</v>
      </c>
      <c r="B91">
        <v>0.1704</v>
      </c>
      <c r="C91">
        <v>0.54300000000000004</v>
      </c>
      <c r="D91">
        <v>0.17899999999999999</v>
      </c>
      <c r="E91">
        <v>0.13</v>
      </c>
      <c r="F91">
        <v>0.60140000000000005</v>
      </c>
      <c r="G91">
        <v>0.74590000000000001</v>
      </c>
      <c r="H91">
        <v>0.6</v>
      </c>
      <c r="I91">
        <v>0.155</v>
      </c>
      <c r="J91">
        <v>2.9310999999999998</v>
      </c>
      <c r="K91">
        <v>3.3546999999999998</v>
      </c>
      <c r="L91">
        <v>2.577</v>
      </c>
      <c r="M91">
        <v>1.091</v>
      </c>
      <c r="N91">
        <v>34.54</v>
      </c>
      <c r="O91">
        <v>140.29400000000001</v>
      </c>
      <c r="P91">
        <v>86.019000000000005</v>
      </c>
      <c r="Q91">
        <v>98.608699999999999</v>
      </c>
      <c r="R91">
        <v>1.8047</v>
      </c>
      <c r="S91">
        <v>75.63</v>
      </c>
      <c r="T91">
        <v>75.010000000000005</v>
      </c>
      <c r="U91">
        <v>348.59</v>
      </c>
      <c r="V91">
        <v>721.34</v>
      </c>
      <c r="W91">
        <v>1041.32</v>
      </c>
      <c r="X91">
        <v>917.99</v>
      </c>
      <c r="Y91">
        <v>60935.9</v>
      </c>
      <c r="Z91" t="s">
        <v>103</v>
      </c>
      <c r="AA91" t="s">
        <v>103</v>
      </c>
      <c r="AB91" t="s">
        <v>103</v>
      </c>
      <c r="AC91">
        <v>12.1991</v>
      </c>
      <c r="AD91">
        <v>12.179399999999999</v>
      </c>
      <c r="AE91">
        <v>11.8477</v>
      </c>
      <c r="AF91">
        <v>10.119999999999999</v>
      </c>
      <c r="AG91">
        <v>1.2238</v>
      </c>
      <c r="AH91">
        <v>88.43</v>
      </c>
      <c r="AI91">
        <v>1.4944999999999999</v>
      </c>
      <c r="AJ91">
        <v>1.0639000000000001</v>
      </c>
      <c r="AK91">
        <v>7.7944000000000004</v>
      </c>
      <c r="AL91">
        <v>1.0773999999999999</v>
      </c>
      <c r="AM91">
        <v>182.22</v>
      </c>
      <c r="AN91">
        <v>119.44</v>
      </c>
      <c r="AO91">
        <v>119.36</v>
      </c>
      <c r="AP91">
        <v>95.43</v>
      </c>
      <c r="AQ91">
        <v>95.52</v>
      </c>
    </row>
    <row r="92" spans="1:43" x14ac:dyDescent="0.25">
      <c r="A92" s="1">
        <v>40389</v>
      </c>
      <c r="B92">
        <v>0.14000000000000001</v>
      </c>
      <c r="C92">
        <v>0.502</v>
      </c>
      <c r="D92">
        <v>0.248</v>
      </c>
      <c r="E92">
        <v>0.125</v>
      </c>
      <c r="F92">
        <v>0.54610000000000003</v>
      </c>
      <c r="G92">
        <v>0.77700000000000002</v>
      </c>
      <c r="H92">
        <v>0.78400000000000003</v>
      </c>
      <c r="I92">
        <v>0.155</v>
      </c>
      <c r="J92">
        <v>2.9051999999999998</v>
      </c>
      <c r="K92">
        <v>3.3245</v>
      </c>
      <c r="L92">
        <v>2.669</v>
      </c>
      <c r="M92">
        <v>1.0740000000000001</v>
      </c>
      <c r="N92">
        <v>23.5</v>
      </c>
      <c r="O92">
        <v>116.90900000000001</v>
      </c>
      <c r="P92">
        <v>81.539000000000001</v>
      </c>
      <c r="Q92">
        <v>98.243700000000004</v>
      </c>
      <c r="R92">
        <v>1.7548999999999999</v>
      </c>
      <c r="S92">
        <v>78.95</v>
      </c>
      <c r="T92">
        <v>78.180000000000007</v>
      </c>
      <c r="U92">
        <v>376.72</v>
      </c>
      <c r="V92">
        <v>776.76</v>
      </c>
      <c r="W92">
        <v>1124.83</v>
      </c>
      <c r="X92">
        <v>991.41</v>
      </c>
      <c r="Y92">
        <v>67515.399999999994</v>
      </c>
      <c r="Z92" t="s">
        <v>103</v>
      </c>
      <c r="AA92" t="s">
        <v>103</v>
      </c>
      <c r="AB92" t="s">
        <v>103</v>
      </c>
      <c r="AC92">
        <v>11.8817</v>
      </c>
      <c r="AD92">
        <v>11.7591</v>
      </c>
      <c r="AE92">
        <v>11.1755</v>
      </c>
      <c r="AF92">
        <v>10.63</v>
      </c>
      <c r="AG92">
        <v>1.3051999999999999</v>
      </c>
      <c r="AH92">
        <v>86.47</v>
      </c>
      <c r="AI92">
        <v>1.5689</v>
      </c>
      <c r="AJ92">
        <v>1.0297000000000001</v>
      </c>
      <c r="AK92">
        <v>7.2103999999999999</v>
      </c>
      <c r="AL92">
        <v>1.0411999999999999</v>
      </c>
      <c r="AM92">
        <v>184.09</v>
      </c>
      <c r="AN92">
        <v>124.56</v>
      </c>
      <c r="AO92">
        <v>118.61</v>
      </c>
      <c r="AP92">
        <v>95.95</v>
      </c>
      <c r="AQ92">
        <v>99.42</v>
      </c>
    </row>
    <row r="93" spans="1:43" x14ac:dyDescent="0.25">
      <c r="A93" s="1">
        <v>40421</v>
      </c>
      <c r="B93">
        <v>0.1268</v>
      </c>
      <c r="C93">
        <v>0.57599999999999996</v>
      </c>
      <c r="D93">
        <v>0.23799999999999999</v>
      </c>
      <c r="E93">
        <v>0.11799999999999999</v>
      </c>
      <c r="F93">
        <v>0.46939999999999998</v>
      </c>
      <c r="G93">
        <v>0.6462</v>
      </c>
      <c r="H93">
        <v>0.59</v>
      </c>
      <c r="I93">
        <v>0.126</v>
      </c>
      <c r="J93">
        <v>2.4683000000000002</v>
      </c>
      <c r="K93">
        <v>2.8317000000000001</v>
      </c>
      <c r="L93">
        <v>2.1160000000000001</v>
      </c>
      <c r="M93">
        <v>0.97099999999999997</v>
      </c>
      <c r="N93">
        <v>26.05</v>
      </c>
      <c r="O93">
        <v>131.46199999999999</v>
      </c>
      <c r="P93">
        <v>83.201999999999998</v>
      </c>
      <c r="Q93">
        <v>97.693100000000001</v>
      </c>
      <c r="R93">
        <v>1.7559</v>
      </c>
      <c r="S93">
        <v>71.92</v>
      </c>
      <c r="T93">
        <v>74.64</v>
      </c>
      <c r="U93">
        <v>392.63</v>
      </c>
      <c r="V93">
        <v>810.39</v>
      </c>
      <c r="W93">
        <v>1080.7</v>
      </c>
      <c r="X93">
        <v>970.05</v>
      </c>
      <c r="Y93">
        <v>65145.45</v>
      </c>
      <c r="Z93" t="s">
        <v>103</v>
      </c>
      <c r="AA93" t="s">
        <v>103</v>
      </c>
      <c r="AB93" t="s">
        <v>103</v>
      </c>
      <c r="AC93">
        <v>11.421799999999999</v>
      </c>
      <c r="AD93">
        <v>11.4559</v>
      </c>
      <c r="AE93">
        <v>11.102</v>
      </c>
      <c r="AF93">
        <v>10.63</v>
      </c>
      <c r="AG93">
        <v>1.268</v>
      </c>
      <c r="AH93">
        <v>84.2</v>
      </c>
      <c r="AI93">
        <v>1.5347999999999999</v>
      </c>
      <c r="AJ93">
        <v>1.0656000000000001</v>
      </c>
      <c r="AK93">
        <v>7.3844000000000003</v>
      </c>
      <c r="AL93">
        <v>1.0150999999999999</v>
      </c>
      <c r="AM93">
        <v>192.88</v>
      </c>
      <c r="AN93">
        <v>126.02</v>
      </c>
      <c r="AO93">
        <v>118.31</v>
      </c>
      <c r="AP93">
        <v>96.55</v>
      </c>
      <c r="AQ93">
        <v>99.35</v>
      </c>
    </row>
    <row r="94" spans="1:43" x14ac:dyDescent="0.25">
      <c r="A94" s="1">
        <v>40451</v>
      </c>
      <c r="B94">
        <v>0.1532</v>
      </c>
      <c r="C94">
        <v>0.56799999999999995</v>
      </c>
      <c r="D94">
        <v>0.39200000000000002</v>
      </c>
      <c r="E94">
        <v>0.12</v>
      </c>
      <c r="F94">
        <v>0.42220000000000002</v>
      </c>
      <c r="G94">
        <v>0.65310000000000001</v>
      </c>
      <c r="H94">
        <v>0.83399999999999996</v>
      </c>
      <c r="I94">
        <v>0.14099999999999999</v>
      </c>
      <c r="J94">
        <v>2.5097999999999998</v>
      </c>
      <c r="K94">
        <v>2.9497</v>
      </c>
      <c r="L94">
        <v>2.278</v>
      </c>
      <c r="M94">
        <v>0.94</v>
      </c>
      <c r="N94">
        <v>23.7</v>
      </c>
      <c r="O94">
        <v>115.902</v>
      </c>
      <c r="P94">
        <v>78.72</v>
      </c>
      <c r="Q94">
        <v>96.990700000000004</v>
      </c>
      <c r="R94">
        <v>1.7079</v>
      </c>
      <c r="S94">
        <v>79.97</v>
      </c>
      <c r="T94">
        <v>82.31</v>
      </c>
      <c r="U94">
        <v>433.2</v>
      </c>
      <c r="V94">
        <v>876.81</v>
      </c>
      <c r="W94">
        <v>1179.19</v>
      </c>
      <c r="X94">
        <v>1075.53</v>
      </c>
      <c r="Y94">
        <v>69429.78</v>
      </c>
      <c r="Z94" t="s">
        <v>103</v>
      </c>
      <c r="AA94" t="s">
        <v>103</v>
      </c>
      <c r="AB94" t="s">
        <v>103</v>
      </c>
      <c r="AC94">
        <v>11.8324</v>
      </c>
      <c r="AD94">
        <v>11.85</v>
      </c>
      <c r="AE94">
        <v>11.3165</v>
      </c>
      <c r="AF94">
        <v>10.61</v>
      </c>
      <c r="AG94">
        <v>1.3633999999999999</v>
      </c>
      <c r="AH94">
        <v>83.53</v>
      </c>
      <c r="AI94">
        <v>1.5716000000000001</v>
      </c>
      <c r="AJ94">
        <v>1.0291999999999999</v>
      </c>
      <c r="AK94">
        <v>6.7403000000000004</v>
      </c>
      <c r="AL94">
        <v>0.98250000000000004</v>
      </c>
      <c r="AM94">
        <v>190.02</v>
      </c>
      <c r="AN94">
        <v>123.29</v>
      </c>
      <c r="AO94">
        <v>118.57</v>
      </c>
      <c r="AP94">
        <v>97.43</v>
      </c>
      <c r="AQ94">
        <v>97.89</v>
      </c>
    </row>
    <row r="95" spans="1:43" x14ac:dyDescent="0.25">
      <c r="A95" s="1">
        <v>40480</v>
      </c>
      <c r="B95">
        <v>0.1105</v>
      </c>
      <c r="C95">
        <v>0.55100000000000005</v>
      </c>
      <c r="D95">
        <v>0.57399999999999995</v>
      </c>
      <c r="E95">
        <v>0.12</v>
      </c>
      <c r="F95">
        <v>0.3357</v>
      </c>
      <c r="G95">
        <v>0.67710000000000004</v>
      </c>
      <c r="H95">
        <v>0.98899999999999999</v>
      </c>
      <c r="I95">
        <v>0.14499999999999999</v>
      </c>
      <c r="J95">
        <v>2.5992999999999999</v>
      </c>
      <c r="K95">
        <v>3.0758999999999999</v>
      </c>
      <c r="L95">
        <v>2.5179999999999998</v>
      </c>
      <c r="M95">
        <v>0.93899999999999995</v>
      </c>
      <c r="N95">
        <v>21.2</v>
      </c>
      <c r="O95">
        <v>100.61199999999999</v>
      </c>
      <c r="P95">
        <v>77.266000000000005</v>
      </c>
      <c r="Q95">
        <v>95.146199999999993</v>
      </c>
      <c r="R95">
        <v>1.7019</v>
      </c>
      <c r="S95">
        <v>81.430000000000007</v>
      </c>
      <c r="T95">
        <v>83.15</v>
      </c>
      <c r="U95">
        <v>422.18</v>
      </c>
      <c r="V95">
        <v>887.97</v>
      </c>
      <c r="W95">
        <v>1222.23</v>
      </c>
      <c r="X95">
        <v>1105.75</v>
      </c>
      <c r="Y95">
        <v>70673.3</v>
      </c>
      <c r="Z95" t="s">
        <v>103</v>
      </c>
      <c r="AA95" t="s">
        <v>103</v>
      </c>
      <c r="AB95" t="s">
        <v>103</v>
      </c>
      <c r="AC95">
        <v>11.6989</v>
      </c>
      <c r="AD95">
        <v>11.712999999999999</v>
      </c>
      <c r="AE95">
        <v>11.2178</v>
      </c>
      <c r="AF95">
        <v>10.64</v>
      </c>
      <c r="AG95">
        <v>1.3947000000000001</v>
      </c>
      <c r="AH95">
        <v>80.400000000000006</v>
      </c>
      <c r="AI95">
        <v>1.6037999999999999</v>
      </c>
      <c r="AJ95">
        <v>1.0194000000000001</v>
      </c>
      <c r="AK95">
        <v>6.6702000000000004</v>
      </c>
      <c r="AL95">
        <v>0.98240000000000005</v>
      </c>
      <c r="AM95">
        <v>189.57</v>
      </c>
      <c r="AN95">
        <v>125.55</v>
      </c>
      <c r="AO95">
        <v>118.21</v>
      </c>
      <c r="AP95">
        <v>97.27</v>
      </c>
      <c r="AQ95">
        <v>97.79</v>
      </c>
    </row>
    <row r="96" spans="1:43" x14ac:dyDescent="0.25">
      <c r="A96" s="1">
        <v>40512</v>
      </c>
      <c r="B96">
        <v>0.1552</v>
      </c>
      <c r="C96">
        <v>0.54600000000000004</v>
      </c>
      <c r="D96">
        <v>0.44</v>
      </c>
      <c r="E96">
        <v>0.13200000000000001</v>
      </c>
      <c r="F96">
        <v>0.45279999999999998</v>
      </c>
      <c r="G96">
        <v>0.91300000000000003</v>
      </c>
      <c r="H96">
        <v>0.85599999999999998</v>
      </c>
      <c r="I96">
        <v>0.2</v>
      </c>
      <c r="J96">
        <v>2.7968000000000002</v>
      </c>
      <c r="K96">
        <v>3.2248999999999999</v>
      </c>
      <c r="L96">
        <v>2.67</v>
      </c>
      <c r="M96">
        <v>1.194</v>
      </c>
      <c r="N96">
        <v>23.54</v>
      </c>
      <c r="O96">
        <v>123.526</v>
      </c>
      <c r="P96">
        <v>81.194999999999993</v>
      </c>
      <c r="Q96">
        <v>95.083399999999997</v>
      </c>
      <c r="R96">
        <v>1.7129000000000001</v>
      </c>
      <c r="S96">
        <v>84.11</v>
      </c>
      <c r="T96">
        <v>85.92</v>
      </c>
      <c r="U96">
        <v>400.88</v>
      </c>
      <c r="V96">
        <v>897.94</v>
      </c>
      <c r="W96">
        <v>1193.56</v>
      </c>
      <c r="X96">
        <v>1075.8499999999999</v>
      </c>
      <c r="Y96">
        <v>67705.399999999994</v>
      </c>
      <c r="Z96" t="s">
        <v>103</v>
      </c>
      <c r="AA96" t="s">
        <v>103</v>
      </c>
      <c r="AB96" t="s">
        <v>103</v>
      </c>
      <c r="AC96">
        <v>12.204499999999999</v>
      </c>
      <c r="AD96">
        <v>12.2896</v>
      </c>
      <c r="AE96">
        <v>11.9491</v>
      </c>
      <c r="AF96">
        <v>10.64</v>
      </c>
      <c r="AG96">
        <v>1.2983</v>
      </c>
      <c r="AH96">
        <v>83.69</v>
      </c>
      <c r="AI96">
        <v>1.5562</v>
      </c>
      <c r="AJ96">
        <v>1.0264</v>
      </c>
      <c r="AK96">
        <v>7.0286999999999997</v>
      </c>
      <c r="AL96">
        <v>1.0034000000000001</v>
      </c>
      <c r="AM96">
        <v>201.3</v>
      </c>
      <c r="AN96">
        <v>124.43</v>
      </c>
      <c r="AO96">
        <v>119.02</v>
      </c>
      <c r="AP96">
        <v>98.36</v>
      </c>
      <c r="AQ96">
        <v>98.04</v>
      </c>
    </row>
    <row r="97" spans="1:43" x14ac:dyDescent="0.25">
      <c r="A97" s="1">
        <v>40543</v>
      </c>
      <c r="B97">
        <v>0.1197</v>
      </c>
      <c r="C97">
        <v>0.56599999999999995</v>
      </c>
      <c r="D97">
        <v>0.33800000000000002</v>
      </c>
      <c r="E97">
        <v>0.13800000000000001</v>
      </c>
      <c r="F97">
        <v>0.59340000000000004</v>
      </c>
      <c r="G97">
        <v>1.0972</v>
      </c>
      <c r="H97">
        <v>0.86399999999999999</v>
      </c>
      <c r="I97">
        <v>0.18</v>
      </c>
      <c r="J97">
        <v>3.2934999999999999</v>
      </c>
      <c r="K97">
        <v>3.3961000000000001</v>
      </c>
      <c r="L97">
        <v>2.9630000000000001</v>
      </c>
      <c r="M97">
        <v>1.1279999999999999</v>
      </c>
      <c r="N97">
        <v>17.75</v>
      </c>
      <c r="O97">
        <v>111.277</v>
      </c>
      <c r="P97">
        <v>79.028000000000006</v>
      </c>
      <c r="Q97">
        <v>95.224800000000002</v>
      </c>
      <c r="R97">
        <v>1.6613</v>
      </c>
      <c r="S97">
        <v>91.38</v>
      </c>
      <c r="T97">
        <v>94.75</v>
      </c>
      <c r="U97">
        <v>440.27</v>
      </c>
      <c r="V97">
        <v>1006.24</v>
      </c>
      <c r="W97">
        <v>1280.07</v>
      </c>
      <c r="X97">
        <v>1151.3800000000001</v>
      </c>
      <c r="Y97">
        <v>69304.81</v>
      </c>
      <c r="Z97" t="s">
        <v>103</v>
      </c>
      <c r="AA97" t="s">
        <v>103</v>
      </c>
      <c r="AB97" t="s">
        <v>103</v>
      </c>
      <c r="AC97">
        <v>12.2379</v>
      </c>
      <c r="AD97">
        <v>12.26</v>
      </c>
      <c r="AE97">
        <v>12.0284</v>
      </c>
      <c r="AF97">
        <v>10.64</v>
      </c>
      <c r="AG97">
        <v>1.3384</v>
      </c>
      <c r="AH97">
        <v>81.12</v>
      </c>
      <c r="AI97">
        <v>1.5611999999999999</v>
      </c>
      <c r="AJ97">
        <v>0.998</v>
      </c>
      <c r="AK97">
        <v>6.7114000000000003</v>
      </c>
      <c r="AL97">
        <v>0.93520000000000003</v>
      </c>
      <c r="AM97">
        <v>180.92</v>
      </c>
      <c r="AN97">
        <v>112.54</v>
      </c>
      <c r="AO97">
        <v>119.63</v>
      </c>
      <c r="AP97">
        <v>97.34</v>
      </c>
      <c r="AQ97">
        <v>95.94</v>
      </c>
    </row>
    <row r="98" spans="1:43" x14ac:dyDescent="0.25">
      <c r="A98" s="1">
        <v>40574</v>
      </c>
      <c r="B98">
        <v>0.14499999999999999</v>
      </c>
      <c r="C98">
        <v>0.57699999999999996</v>
      </c>
      <c r="D98">
        <v>0.48899999999999999</v>
      </c>
      <c r="E98">
        <v>0.122</v>
      </c>
      <c r="F98">
        <v>0.56200000000000006</v>
      </c>
      <c r="G98">
        <v>1.2908999999999999</v>
      </c>
      <c r="H98">
        <v>1.3680000000000001</v>
      </c>
      <c r="I98">
        <v>0.20499999999999999</v>
      </c>
      <c r="J98">
        <v>3.3704000000000001</v>
      </c>
      <c r="K98">
        <v>3.6533000000000002</v>
      </c>
      <c r="L98">
        <v>3.153</v>
      </c>
      <c r="M98">
        <v>1.2190000000000001</v>
      </c>
      <c r="N98">
        <v>19.53</v>
      </c>
      <c r="O98">
        <v>118.919</v>
      </c>
      <c r="P98">
        <v>77.734999999999999</v>
      </c>
      <c r="Q98">
        <v>94.102599999999995</v>
      </c>
      <c r="R98">
        <v>1.6736</v>
      </c>
      <c r="S98">
        <v>92.19</v>
      </c>
      <c r="T98">
        <v>101.01</v>
      </c>
      <c r="U98">
        <v>483.75</v>
      </c>
      <c r="V98">
        <v>1065.3</v>
      </c>
      <c r="W98">
        <v>1308.08</v>
      </c>
      <c r="X98">
        <v>1119.08</v>
      </c>
      <c r="Y98">
        <v>66574.880000000005</v>
      </c>
      <c r="Z98" t="s">
        <v>103</v>
      </c>
      <c r="AA98" t="s">
        <v>103</v>
      </c>
      <c r="AB98" t="s">
        <v>103</v>
      </c>
      <c r="AC98">
        <v>12.898899999999999</v>
      </c>
      <c r="AD98">
        <v>12.9154</v>
      </c>
      <c r="AE98">
        <v>12.4497</v>
      </c>
      <c r="AF98">
        <v>11.14</v>
      </c>
      <c r="AG98">
        <v>1.3694</v>
      </c>
      <c r="AH98">
        <v>82.04</v>
      </c>
      <c r="AI98">
        <v>1.6013999999999999</v>
      </c>
      <c r="AJ98">
        <v>1.0009999999999999</v>
      </c>
      <c r="AK98">
        <v>6.4474</v>
      </c>
      <c r="AL98">
        <v>0.94399999999999995</v>
      </c>
      <c r="AM98">
        <v>164.26</v>
      </c>
      <c r="AN98">
        <v>108.63</v>
      </c>
      <c r="AO98">
        <v>119.98</v>
      </c>
      <c r="AP98">
        <v>98.54</v>
      </c>
      <c r="AQ98">
        <v>93.12</v>
      </c>
    </row>
    <row r="99" spans="1:43" x14ac:dyDescent="0.25">
      <c r="A99" s="1">
        <v>40602</v>
      </c>
      <c r="B99">
        <v>0.13489999999999999</v>
      </c>
      <c r="C99">
        <v>0.64100000000000001</v>
      </c>
      <c r="D99">
        <v>0.438</v>
      </c>
      <c r="E99">
        <v>0.128</v>
      </c>
      <c r="F99">
        <v>0.68020000000000003</v>
      </c>
      <c r="G99">
        <v>1.3893</v>
      </c>
      <c r="H99">
        <v>1.5109999999999999</v>
      </c>
      <c r="I99">
        <v>0.25</v>
      </c>
      <c r="J99">
        <v>3.4272</v>
      </c>
      <c r="K99">
        <v>3.6000999999999999</v>
      </c>
      <c r="L99">
        <v>3.169</v>
      </c>
      <c r="M99">
        <v>1.264</v>
      </c>
      <c r="N99">
        <v>18.350000000000001</v>
      </c>
      <c r="O99">
        <v>118</v>
      </c>
      <c r="P99">
        <v>76.888999999999996</v>
      </c>
      <c r="Q99">
        <v>93.873099999999994</v>
      </c>
      <c r="R99">
        <v>1.6632</v>
      </c>
      <c r="S99">
        <v>96.97</v>
      </c>
      <c r="T99">
        <v>111.8</v>
      </c>
      <c r="U99">
        <v>494.95</v>
      </c>
      <c r="V99">
        <v>1089.8499999999999</v>
      </c>
      <c r="W99">
        <v>1351.65</v>
      </c>
      <c r="X99">
        <v>1107.77</v>
      </c>
      <c r="Y99">
        <v>67383.22</v>
      </c>
      <c r="Z99" t="s">
        <v>103</v>
      </c>
      <c r="AA99" t="s">
        <v>103</v>
      </c>
      <c r="AB99" t="s">
        <v>103</v>
      </c>
      <c r="AC99">
        <v>12.72</v>
      </c>
      <c r="AD99">
        <v>12.724500000000001</v>
      </c>
      <c r="AE99">
        <v>12.607799999999999</v>
      </c>
      <c r="AF99">
        <v>11.15</v>
      </c>
      <c r="AG99">
        <v>1.3806</v>
      </c>
      <c r="AH99">
        <v>81.78</v>
      </c>
      <c r="AI99">
        <v>1.6256999999999999</v>
      </c>
      <c r="AJ99">
        <v>0.97160000000000002</v>
      </c>
      <c r="AK99">
        <v>6.3249000000000004</v>
      </c>
      <c r="AL99">
        <v>0.92889999999999995</v>
      </c>
      <c r="AM99">
        <v>184.87</v>
      </c>
      <c r="AN99">
        <v>111.18</v>
      </c>
      <c r="AO99">
        <v>121.44</v>
      </c>
      <c r="AP99">
        <v>98.94</v>
      </c>
      <c r="AQ99">
        <v>95.59</v>
      </c>
    </row>
    <row r="100" spans="1:43" x14ac:dyDescent="0.25">
      <c r="A100" s="1">
        <v>40633</v>
      </c>
      <c r="B100">
        <v>9.1300000000000006E-2</v>
      </c>
      <c r="C100">
        <v>0.63</v>
      </c>
      <c r="D100">
        <v>0.749</v>
      </c>
      <c r="E100">
        <v>0.124</v>
      </c>
      <c r="F100">
        <v>0.82110000000000005</v>
      </c>
      <c r="G100">
        <v>1.3494999999999999</v>
      </c>
      <c r="H100">
        <v>1.7869999999999999</v>
      </c>
      <c r="I100">
        <v>0.21</v>
      </c>
      <c r="J100">
        <v>3.4702999999999999</v>
      </c>
      <c r="K100">
        <v>3.6873999999999998</v>
      </c>
      <c r="L100">
        <v>3.3519999999999999</v>
      </c>
      <c r="M100">
        <v>1.26</v>
      </c>
      <c r="N100">
        <v>17.739999999999998</v>
      </c>
      <c r="O100">
        <v>111.71899999999999</v>
      </c>
      <c r="P100">
        <v>75.856999999999999</v>
      </c>
      <c r="Q100">
        <v>93.526600000000002</v>
      </c>
      <c r="R100">
        <v>1.6325000000000001</v>
      </c>
      <c r="S100">
        <v>106.72</v>
      </c>
      <c r="T100">
        <v>117.36</v>
      </c>
      <c r="U100">
        <v>507.1</v>
      </c>
      <c r="V100">
        <v>1087.98</v>
      </c>
      <c r="W100">
        <v>1334.93</v>
      </c>
      <c r="X100">
        <v>1170.8699999999999</v>
      </c>
      <c r="Y100">
        <v>68586.7</v>
      </c>
      <c r="Z100" t="s">
        <v>103</v>
      </c>
      <c r="AA100" t="s">
        <v>103</v>
      </c>
      <c r="AB100" t="s">
        <v>103</v>
      </c>
      <c r="AC100">
        <v>12.8439</v>
      </c>
      <c r="AD100">
        <v>12.7643</v>
      </c>
      <c r="AE100">
        <v>12.288</v>
      </c>
      <c r="AF100">
        <v>11.66</v>
      </c>
      <c r="AG100">
        <v>1.4157999999999999</v>
      </c>
      <c r="AH100">
        <v>83.13</v>
      </c>
      <c r="AI100">
        <v>1.6028</v>
      </c>
      <c r="AJ100">
        <v>0.97060000000000002</v>
      </c>
      <c r="AK100">
        <v>6.3235000000000001</v>
      </c>
      <c r="AL100">
        <v>0.91900000000000004</v>
      </c>
      <c r="AM100">
        <v>197.27</v>
      </c>
      <c r="AN100">
        <v>121.63</v>
      </c>
      <c r="AO100">
        <v>121.8</v>
      </c>
      <c r="AP100">
        <v>98.95</v>
      </c>
      <c r="AQ100">
        <v>101.73</v>
      </c>
    </row>
    <row r="101" spans="1:43" x14ac:dyDescent="0.25">
      <c r="A101" s="1">
        <v>40662</v>
      </c>
      <c r="B101">
        <v>3.5499999999999997E-2</v>
      </c>
      <c r="C101">
        <v>0.53600000000000003</v>
      </c>
      <c r="D101">
        <v>0.81299999999999994</v>
      </c>
      <c r="E101">
        <v>0.125</v>
      </c>
      <c r="F101">
        <v>0.60129999999999995</v>
      </c>
      <c r="G101">
        <v>1.1960999999999999</v>
      </c>
      <c r="H101">
        <v>1.7669999999999999</v>
      </c>
      <c r="I101">
        <v>0.20499999999999999</v>
      </c>
      <c r="J101">
        <v>3.2863000000000002</v>
      </c>
      <c r="K101">
        <v>3.4264999999999999</v>
      </c>
      <c r="L101">
        <v>3.238</v>
      </c>
      <c r="M101">
        <v>1.21</v>
      </c>
      <c r="N101">
        <v>14.75</v>
      </c>
      <c r="O101">
        <v>105.34699999999999</v>
      </c>
      <c r="P101">
        <v>72.933000000000007</v>
      </c>
      <c r="Q101">
        <v>91.947199999999995</v>
      </c>
      <c r="R101">
        <v>1.5743</v>
      </c>
      <c r="S101">
        <v>113.93</v>
      </c>
      <c r="T101">
        <v>125.89</v>
      </c>
      <c r="U101">
        <v>504.11</v>
      </c>
      <c r="V101">
        <v>1077.52</v>
      </c>
      <c r="W101">
        <v>1388.62</v>
      </c>
      <c r="X101">
        <v>1204.03</v>
      </c>
      <c r="Y101">
        <v>66132.86</v>
      </c>
      <c r="Z101" t="s">
        <v>103</v>
      </c>
      <c r="AA101" t="s">
        <v>103</v>
      </c>
      <c r="AB101" t="s">
        <v>103</v>
      </c>
      <c r="AC101">
        <v>12.578900000000001</v>
      </c>
      <c r="AD101">
        <v>12.717599999999999</v>
      </c>
      <c r="AE101">
        <v>12.530799999999999</v>
      </c>
      <c r="AF101">
        <v>11.91</v>
      </c>
      <c r="AG101">
        <v>1.4806999999999999</v>
      </c>
      <c r="AH101">
        <v>81.19</v>
      </c>
      <c r="AI101">
        <v>1.6707000000000001</v>
      </c>
      <c r="AJ101">
        <v>0.94510000000000005</v>
      </c>
      <c r="AK101">
        <v>6.0419</v>
      </c>
      <c r="AL101">
        <v>0.86529999999999996</v>
      </c>
      <c r="AM101">
        <v>173.57</v>
      </c>
      <c r="AN101">
        <v>113.61</v>
      </c>
      <c r="AO101">
        <v>118.73</v>
      </c>
      <c r="AP101">
        <v>98.97</v>
      </c>
      <c r="AQ101">
        <v>98.19</v>
      </c>
    </row>
    <row r="102" spans="1:43" x14ac:dyDescent="0.25">
      <c r="A102" s="1">
        <v>40694</v>
      </c>
      <c r="B102">
        <v>4.5600000000000002E-2</v>
      </c>
      <c r="C102">
        <v>0.502</v>
      </c>
      <c r="D102">
        <v>0.84899999999999998</v>
      </c>
      <c r="E102">
        <v>0.11700000000000001</v>
      </c>
      <c r="F102">
        <v>0.46850000000000003</v>
      </c>
      <c r="G102">
        <v>0.91410000000000002</v>
      </c>
      <c r="H102">
        <v>1.601</v>
      </c>
      <c r="I102">
        <v>0.184</v>
      </c>
      <c r="J102">
        <v>3.0607000000000002</v>
      </c>
      <c r="K102">
        <v>3.2902999999999998</v>
      </c>
      <c r="L102">
        <v>3.0190000000000001</v>
      </c>
      <c r="M102">
        <v>1.1579999999999999</v>
      </c>
      <c r="N102">
        <v>15.45</v>
      </c>
      <c r="O102">
        <v>104.068</v>
      </c>
      <c r="P102">
        <v>74.638000000000005</v>
      </c>
      <c r="Q102">
        <v>91.814300000000003</v>
      </c>
      <c r="R102">
        <v>1.5805</v>
      </c>
      <c r="S102">
        <v>102.7</v>
      </c>
      <c r="T102">
        <v>116.73</v>
      </c>
      <c r="U102">
        <v>502.02</v>
      </c>
      <c r="V102">
        <v>1048.23</v>
      </c>
      <c r="W102">
        <v>1354.61</v>
      </c>
      <c r="X102">
        <v>1167.97</v>
      </c>
      <c r="Y102">
        <v>64620.08</v>
      </c>
      <c r="Z102" t="s">
        <v>103</v>
      </c>
      <c r="AA102" t="s">
        <v>103</v>
      </c>
      <c r="AB102" t="s">
        <v>103</v>
      </c>
      <c r="AC102">
        <v>12.4025</v>
      </c>
      <c r="AD102">
        <v>12.519</v>
      </c>
      <c r="AE102">
        <v>12.4651</v>
      </c>
      <c r="AF102">
        <v>11.85</v>
      </c>
      <c r="AG102">
        <v>1.4396</v>
      </c>
      <c r="AH102">
        <v>81.52</v>
      </c>
      <c r="AI102">
        <v>1.6448</v>
      </c>
      <c r="AJ102">
        <v>0.96850000000000003</v>
      </c>
      <c r="AK102">
        <v>6.1718000000000002</v>
      </c>
      <c r="AL102">
        <v>0.85399999999999998</v>
      </c>
      <c r="AM102">
        <v>196.93</v>
      </c>
      <c r="AN102">
        <v>124.81</v>
      </c>
      <c r="AO102">
        <v>122.3</v>
      </c>
      <c r="AP102">
        <v>99.15</v>
      </c>
      <c r="AQ102">
        <v>100.53</v>
      </c>
    </row>
    <row r="103" spans="1:43" x14ac:dyDescent="0.25">
      <c r="A103" s="1">
        <v>40724</v>
      </c>
      <c r="B103">
        <v>1.0200000000000001E-2</v>
      </c>
      <c r="C103">
        <v>0.505</v>
      </c>
      <c r="D103">
        <v>0.97699999999999998</v>
      </c>
      <c r="E103">
        <v>9.6000000000000002E-2</v>
      </c>
      <c r="F103">
        <v>0.45760000000000001</v>
      </c>
      <c r="G103">
        <v>0.82069999999999999</v>
      </c>
      <c r="H103">
        <v>1.603</v>
      </c>
      <c r="I103">
        <v>0.17</v>
      </c>
      <c r="J103">
        <v>3.16</v>
      </c>
      <c r="K103">
        <v>3.3784000000000001</v>
      </c>
      <c r="L103">
        <v>3.0230000000000001</v>
      </c>
      <c r="M103">
        <v>1.135</v>
      </c>
      <c r="N103">
        <v>16.52</v>
      </c>
      <c r="O103">
        <v>110.005</v>
      </c>
      <c r="P103">
        <v>74.302999999999997</v>
      </c>
      <c r="Q103">
        <v>91.8917</v>
      </c>
      <c r="R103">
        <v>1.5634999999999999</v>
      </c>
      <c r="S103">
        <v>95.42</v>
      </c>
      <c r="T103">
        <v>112.48</v>
      </c>
      <c r="U103">
        <v>484.58</v>
      </c>
      <c r="V103">
        <v>1035.83</v>
      </c>
      <c r="W103">
        <v>1331.18</v>
      </c>
      <c r="X103">
        <v>1146.22</v>
      </c>
      <c r="Y103">
        <v>62403.64</v>
      </c>
      <c r="Z103" t="s">
        <v>103</v>
      </c>
      <c r="AA103" t="s">
        <v>103</v>
      </c>
      <c r="AB103" t="s">
        <v>103</v>
      </c>
      <c r="AC103">
        <v>12.6128</v>
      </c>
      <c r="AD103">
        <v>12.700699999999999</v>
      </c>
      <c r="AE103">
        <v>12.649100000000001</v>
      </c>
      <c r="AF103">
        <v>12.15</v>
      </c>
      <c r="AG103">
        <v>1.4501999999999999</v>
      </c>
      <c r="AH103">
        <v>80.56</v>
      </c>
      <c r="AI103">
        <v>1.6052999999999999</v>
      </c>
      <c r="AJ103">
        <v>0.96340000000000003</v>
      </c>
      <c r="AK103">
        <v>6.3284000000000002</v>
      </c>
      <c r="AL103">
        <v>0.84040000000000004</v>
      </c>
      <c r="AM103">
        <v>191.68</v>
      </c>
      <c r="AN103">
        <v>119.8</v>
      </c>
      <c r="AO103">
        <v>120.09</v>
      </c>
      <c r="AP103">
        <v>99.58</v>
      </c>
      <c r="AQ103">
        <v>99.49</v>
      </c>
    </row>
    <row r="104" spans="1:43" x14ac:dyDescent="0.25">
      <c r="A104" s="1">
        <v>40753</v>
      </c>
      <c r="B104">
        <v>9.1499999999999998E-2</v>
      </c>
      <c r="C104">
        <v>0.50600000000000001</v>
      </c>
      <c r="D104">
        <v>0.60899999999999999</v>
      </c>
      <c r="E104">
        <v>0.106</v>
      </c>
      <c r="F104">
        <v>0.35539999999999999</v>
      </c>
      <c r="G104">
        <v>0.62709999999999999</v>
      </c>
      <c r="H104">
        <v>1.1579999999999999</v>
      </c>
      <c r="I104">
        <v>0.15</v>
      </c>
      <c r="J104">
        <v>2.7961</v>
      </c>
      <c r="K104">
        <v>2.8576000000000001</v>
      </c>
      <c r="L104">
        <v>2.5369999999999999</v>
      </c>
      <c r="M104">
        <v>1.077</v>
      </c>
      <c r="N104">
        <v>25.25</v>
      </c>
      <c r="O104">
        <v>113.553</v>
      </c>
      <c r="P104">
        <v>73.897000000000006</v>
      </c>
      <c r="Q104">
        <v>91.178200000000004</v>
      </c>
      <c r="R104">
        <v>1.5497000000000001</v>
      </c>
      <c r="S104">
        <v>95.7</v>
      </c>
      <c r="T104">
        <v>116.74</v>
      </c>
      <c r="U104">
        <v>499.02</v>
      </c>
      <c r="V104">
        <v>1078.98</v>
      </c>
      <c r="W104">
        <v>1306.05</v>
      </c>
      <c r="X104">
        <v>1137.73</v>
      </c>
      <c r="Y104">
        <v>58823.45</v>
      </c>
      <c r="Z104" t="s">
        <v>103</v>
      </c>
      <c r="AA104" t="s">
        <v>103</v>
      </c>
      <c r="AB104" t="s">
        <v>103</v>
      </c>
      <c r="AC104">
        <v>12.8</v>
      </c>
      <c r="AD104">
        <v>12.787599999999999</v>
      </c>
      <c r="AE104">
        <v>12.595700000000001</v>
      </c>
      <c r="AF104">
        <v>12.4</v>
      </c>
      <c r="AG104">
        <v>1.4398</v>
      </c>
      <c r="AH104">
        <v>76.760000000000005</v>
      </c>
      <c r="AI104">
        <v>1.6426000000000001</v>
      </c>
      <c r="AJ104">
        <v>0.95520000000000005</v>
      </c>
      <c r="AK104">
        <v>6.2771999999999997</v>
      </c>
      <c r="AL104">
        <v>0.78549999999999998</v>
      </c>
      <c r="AM104">
        <v>190.12</v>
      </c>
      <c r="AN104">
        <v>123.6</v>
      </c>
      <c r="AO104">
        <v>119.84</v>
      </c>
      <c r="AP104">
        <v>99.67</v>
      </c>
      <c r="AQ104">
        <v>101.91</v>
      </c>
    </row>
    <row r="105" spans="1:43" x14ac:dyDescent="0.25">
      <c r="A105" s="1">
        <v>40786</v>
      </c>
      <c r="B105">
        <v>1.0200000000000001E-2</v>
      </c>
      <c r="C105">
        <v>0.47</v>
      </c>
      <c r="D105">
        <v>0.49</v>
      </c>
      <c r="E105">
        <v>0.106</v>
      </c>
      <c r="F105">
        <v>0.19950000000000001</v>
      </c>
      <c r="G105">
        <v>0.59560000000000002</v>
      </c>
      <c r="H105">
        <v>0.71399999999999997</v>
      </c>
      <c r="I105">
        <v>0.13500000000000001</v>
      </c>
      <c r="J105">
        <v>2.2233999999999998</v>
      </c>
      <c r="K105">
        <v>2.6019000000000001</v>
      </c>
      <c r="L105">
        <v>2.2170000000000001</v>
      </c>
      <c r="M105">
        <v>1.0289999999999999</v>
      </c>
      <c r="N105">
        <v>31.62</v>
      </c>
      <c r="O105">
        <v>141.63300000000001</v>
      </c>
      <c r="P105">
        <v>74.117000000000004</v>
      </c>
      <c r="Q105">
        <v>92.427499999999995</v>
      </c>
      <c r="R105">
        <v>1.5895999999999999</v>
      </c>
      <c r="S105">
        <v>88.81</v>
      </c>
      <c r="T105">
        <v>114.85</v>
      </c>
      <c r="U105">
        <v>506.67</v>
      </c>
      <c r="V105">
        <v>995.76</v>
      </c>
      <c r="W105">
        <v>1211.22</v>
      </c>
      <c r="X105">
        <v>1033.1500000000001</v>
      </c>
      <c r="Y105">
        <v>56495.12</v>
      </c>
      <c r="Z105" t="s">
        <v>103</v>
      </c>
      <c r="AA105" t="s">
        <v>103</v>
      </c>
      <c r="AB105" t="s">
        <v>103</v>
      </c>
      <c r="AC105">
        <v>11.247299999999999</v>
      </c>
      <c r="AD105">
        <v>11.159000000000001</v>
      </c>
      <c r="AE105">
        <v>11.215999999999999</v>
      </c>
      <c r="AF105">
        <v>12.39</v>
      </c>
      <c r="AG105">
        <v>1.4369000000000001</v>
      </c>
      <c r="AH105">
        <v>76.66</v>
      </c>
      <c r="AI105">
        <v>1.625</v>
      </c>
      <c r="AJ105">
        <v>0.97770000000000001</v>
      </c>
      <c r="AK105">
        <v>6.3436000000000003</v>
      </c>
      <c r="AL105">
        <v>0.80600000000000005</v>
      </c>
      <c r="AM105">
        <v>209.43</v>
      </c>
      <c r="AN105">
        <v>129.13999999999999</v>
      </c>
      <c r="AO105">
        <v>118.96</v>
      </c>
      <c r="AP105">
        <v>99.58</v>
      </c>
      <c r="AQ105">
        <v>103.54</v>
      </c>
    </row>
    <row r="106" spans="1:43" x14ac:dyDescent="0.25">
      <c r="A106" s="1">
        <v>40816</v>
      </c>
      <c r="B106">
        <v>2.0299999999999999E-2</v>
      </c>
      <c r="C106">
        <v>0.48699999999999999</v>
      </c>
      <c r="D106">
        <v>0.114</v>
      </c>
      <c r="E106">
        <v>0.10299999999999999</v>
      </c>
      <c r="F106">
        <v>0.24299999999999999</v>
      </c>
      <c r="G106">
        <v>0.57220000000000004</v>
      </c>
      <c r="H106">
        <v>0.54700000000000004</v>
      </c>
      <c r="I106">
        <v>0.14199999999999999</v>
      </c>
      <c r="J106">
        <v>1.9154</v>
      </c>
      <c r="K106">
        <v>2.4268999999999998</v>
      </c>
      <c r="L106">
        <v>1.885</v>
      </c>
      <c r="M106">
        <v>1.0269999999999999</v>
      </c>
      <c r="N106">
        <v>42.96</v>
      </c>
      <c r="O106">
        <v>201.755</v>
      </c>
      <c r="P106">
        <v>78.552999999999997</v>
      </c>
      <c r="Q106">
        <v>95.489599999999996</v>
      </c>
      <c r="R106">
        <v>1.8792</v>
      </c>
      <c r="S106">
        <v>79.2</v>
      </c>
      <c r="T106">
        <v>102.76</v>
      </c>
      <c r="U106">
        <v>459.83</v>
      </c>
      <c r="V106">
        <v>861.45</v>
      </c>
      <c r="W106">
        <v>1104.06</v>
      </c>
      <c r="X106">
        <v>880.43</v>
      </c>
      <c r="Y106">
        <v>52324.42</v>
      </c>
      <c r="Z106" t="s">
        <v>103</v>
      </c>
      <c r="AA106" t="s">
        <v>103</v>
      </c>
      <c r="AB106" t="s">
        <v>103</v>
      </c>
      <c r="AC106">
        <v>10.9466</v>
      </c>
      <c r="AD106">
        <v>10.632099999999999</v>
      </c>
      <c r="AE106">
        <v>10.38</v>
      </c>
      <c r="AF106">
        <v>11.88</v>
      </c>
      <c r="AG106">
        <v>1.3387</v>
      </c>
      <c r="AH106">
        <v>77.06</v>
      </c>
      <c r="AI106">
        <v>1.5584</v>
      </c>
      <c r="AJ106">
        <v>1.0503</v>
      </c>
      <c r="AK106">
        <v>6.8739999999999997</v>
      </c>
      <c r="AL106">
        <v>0.90820000000000001</v>
      </c>
      <c r="AM106">
        <v>189.83</v>
      </c>
      <c r="AN106">
        <v>122.11</v>
      </c>
      <c r="AO106">
        <v>117.04</v>
      </c>
      <c r="AP106">
        <v>99.47</v>
      </c>
      <c r="AQ106">
        <v>99.88</v>
      </c>
    </row>
    <row r="107" spans="1:43" x14ac:dyDescent="0.25">
      <c r="A107" s="1">
        <v>40847</v>
      </c>
      <c r="B107">
        <v>-1.52E-2</v>
      </c>
      <c r="C107">
        <v>0.48699999999999999</v>
      </c>
      <c r="D107">
        <v>0.14199999999999999</v>
      </c>
      <c r="E107">
        <v>0.105</v>
      </c>
      <c r="F107">
        <v>0.2382</v>
      </c>
      <c r="G107">
        <v>0.52170000000000005</v>
      </c>
      <c r="H107">
        <v>0.53600000000000003</v>
      </c>
      <c r="I107">
        <v>0.14699999999999999</v>
      </c>
      <c r="J107">
        <v>2.1133000000000002</v>
      </c>
      <c r="K107">
        <v>2.4354</v>
      </c>
      <c r="L107">
        <v>2.024</v>
      </c>
      <c r="M107">
        <v>1.0409999999999999</v>
      </c>
      <c r="N107">
        <v>29.96</v>
      </c>
      <c r="O107">
        <v>139.25</v>
      </c>
      <c r="P107">
        <v>76.165999999999997</v>
      </c>
      <c r="Q107">
        <v>96.765000000000001</v>
      </c>
      <c r="R107">
        <v>1.7173</v>
      </c>
      <c r="S107">
        <v>93.19</v>
      </c>
      <c r="T107">
        <v>109.56</v>
      </c>
      <c r="U107">
        <v>472.36</v>
      </c>
      <c r="V107">
        <v>893.61</v>
      </c>
      <c r="W107">
        <v>1217.3</v>
      </c>
      <c r="X107">
        <v>995</v>
      </c>
      <c r="Y107">
        <v>58338.39</v>
      </c>
      <c r="Z107" t="s">
        <v>103</v>
      </c>
      <c r="AA107" t="s">
        <v>103</v>
      </c>
      <c r="AB107" t="s">
        <v>103</v>
      </c>
      <c r="AC107">
        <v>10.7776</v>
      </c>
      <c r="AD107">
        <v>10.522</v>
      </c>
      <c r="AE107">
        <v>10.3049</v>
      </c>
      <c r="AF107">
        <v>11.39</v>
      </c>
      <c r="AG107">
        <v>1.3857999999999999</v>
      </c>
      <c r="AH107">
        <v>78.17</v>
      </c>
      <c r="AI107">
        <v>1.6087</v>
      </c>
      <c r="AJ107">
        <v>1.0007999999999999</v>
      </c>
      <c r="AK107">
        <v>6.5035999999999996</v>
      </c>
      <c r="AL107">
        <v>0.877</v>
      </c>
      <c r="AM107">
        <v>189.17</v>
      </c>
      <c r="AN107">
        <v>123.84</v>
      </c>
      <c r="AO107">
        <v>115.77</v>
      </c>
      <c r="AP107">
        <v>99.4</v>
      </c>
      <c r="AQ107">
        <v>99.68</v>
      </c>
    </row>
    <row r="108" spans="1:43" x14ac:dyDescent="0.25">
      <c r="A108" s="1">
        <v>40877</v>
      </c>
      <c r="B108">
        <v>0</v>
      </c>
      <c r="C108">
        <v>0.48699999999999999</v>
      </c>
      <c r="D108">
        <v>-0.13200000000000001</v>
      </c>
      <c r="E108">
        <v>0.106</v>
      </c>
      <c r="F108">
        <v>0.25390000000000001</v>
      </c>
      <c r="G108">
        <v>0.4506</v>
      </c>
      <c r="H108">
        <v>0.33100000000000002</v>
      </c>
      <c r="I108">
        <v>0.13600000000000001</v>
      </c>
      <c r="J108">
        <v>2.0680000000000001</v>
      </c>
      <c r="K108">
        <v>2.3098000000000001</v>
      </c>
      <c r="L108">
        <v>2.2759999999999998</v>
      </c>
      <c r="M108">
        <v>1.0669999999999999</v>
      </c>
      <c r="N108">
        <v>27.8</v>
      </c>
      <c r="O108">
        <v>161.84399999999999</v>
      </c>
      <c r="P108">
        <v>78.384</v>
      </c>
      <c r="Q108">
        <v>97.343299999999999</v>
      </c>
      <c r="R108">
        <v>1.8085</v>
      </c>
      <c r="S108">
        <v>100.36</v>
      </c>
      <c r="T108">
        <v>110.52</v>
      </c>
      <c r="U108">
        <v>440</v>
      </c>
      <c r="V108">
        <v>863</v>
      </c>
      <c r="W108">
        <v>1184.5999999999999</v>
      </c>
      <c r="X108">
        <v>928.32</v>
      </c>
      <c r="Y108">
        <v>56874.98</v>
      </c>
      <c r="Z108" t="s">
        <v>103</v>
      </c>
      <c r="AA108" t="s">
        <v>103</v>
      </c>
      <c r="AB108" t="s">
        <v>103</v>
      </c>
      <c r="AC108">
        <v>10.173999999999999</v>
      </c>
      <c r="AD108">
        <v>9.8201999999999998</v>
      </c>
      <c r="AE108">
        <v>9.6426999999999996</v>
      </c>
      <c r="AF108">
        <v>11.36</v>
      </c>
      <c r="AG108">
        <v>1.3446</v>
      </c>
      <c r="AH108">
        <v>77.62</v>
      </c>
      <c r="AI108">
        <v>1.5704</v>
      </c>
      <c r="AJ108">
        <v>1.0174000000000001</v>
      </c>
      <c r="AK108">
        <v>6.7634999999999996</v>
      </c>
      <c r="AL108">
        <v>0.91320000000000001</v>
      </c>
      <c r="AM108">
        <v>193.94</v>
      </c>
      <c r="AN108">
        <v>121.4</v>
      </c>
      <c r="AO108">
        <v>116.31</v>
      </c>
      <c r="AP108">
        <v>99.89</v>
      </c>
      <c r="AQ108">
        <v>99.58</v>
      </c>
    </row>
    <row r="109" spans="1:43" x14ac:dyDescent="0.25">
      <c r="A109" s="1">
        <v>40907</v>
      </c>
      <c r="B109">
        <v>1.0200000000000001E-2</v>
      </c>
      <c r="C109">
        <v>0.48699999999999999</v>
      </c>
      <c r="D109">
        <v>-0.17699999999999999</v>
      </c>
      <c r="E109">
        <v>0.106</v>
      </c>
      <c r="F109">
        <v>0.23910000000000001</v>
      </c>
      <c r="G109">
        <v>0.31940000000000002</v>
      </c>
      <c r="H109">
        <v>0.13900000000000001</v>
      </c>
      <c r="I109">
        <v>0.13100000000000001</v>
      </c>
      <c r="J109">
        <v>1.8762000000000001</v>
      </c>
      <c r="K109">
        <v>1.9752000000000001</v>
      </c>
      <c r="L109">
        <v>1.825</v>
      </c>
      <c r="M109">
        <v>0.98299999999999998</v>
      </c>
      <c r="N109">
        <v>23.4</v>
      </c>
      <c r="O109">
        <v>161.58799999999999</v>
      </c>
      <c r="P109">
        <v>80.177999999999997</v>
      </c>
      <c r="Q109">
        <v>97.9846</v>
      </c>
      <c r="R109">
        <v>1.8663000000000001</v>
      </c>
      <c r="S109">
        <v>98.83</v>
      </c>
      <c r="T109">
        <v>107.38</v>
      </c>
      <c r="U109">
        <v>435.45</v>
      </c>
      <c r="V109">
        <v>839.35</v>
      </c>
      <c r="W109">
        <v>1182.5899999999999</v>
      </c>
      <c r="X109">
        <v>916.39</v>
      </c>
      <c r="Y109">
        <v>56754.080000000002</v>
      </c>
      <c r="Z109" t="s">
        <v>103</v>
      </c>
      <c r="AA109" t="s">
        <v>103</v>
      </c>
      <c r="AB109" t="s">
        <v>103</v>
      </c>
      <c r="AC109">
        <v>10.7235</v>
      </c>
      <c r="AD109">
        <v>10.477499999999999</v>
      </c>
      <c r="AE109">
        <v>10.039999999999999</v>
      </c>
      <c r="AF109">
        <v>10.87</v>
      </c>
      <c r="AG109">
        <v>1.2961</v>
      </c>
      <c r="AH109">
        <v>76.91</v>
      </c>
      <c r="AI109">
        <v>1.5543</v>
      </c>
      <c r="AJ109">
        <v>1.0213000000000001</v>
      </c>
      <c r="AK109">
        <v>6.8872</v>
      </c>
      <c r="AL109">
        <v>0.93810000000000004</v>
      </c>
      <c r="AM109">
        <v>180.23</v>
      </c>
      <c r="AN109">
        <v>111.5</v>
      </c>
      <c r="AO109">
        <v>119.37</v>
      </c>
      <c r="AP109">
        <v>98.93</v>
      </c>
      <c r="AQ109">
        <v>97.73</v>
      </c>
    </row>
    <row r="110" spans="1:43" x14ac:dyDescent="0.25">
      <c r="A110" s="1">
        <v>40939</v>
      </c>
      <c r="B110">
        <v>5.0799999999999998E-2</v>
      </c>
      <c r="C110">
        <v>0.48699999999999999</v>
      </c>
      <c r="D110">
        <v>-3.5000000000000003E-2</v>
      </c>
      <c r="E110">
        <v>0.104</v>
      </c>
      <c r="F110">
        <v>0.2147</v>
      </c>
      <c r="G110">
        <v>0.35210000000000002</v>
      </c>
      <c r="H110">
        <v>0.156</v>
      </c>
      <c r="I110">
        <v>0.123</v>
      </c>
      <c r="J110">
        <v>1.7970999999999999</v>
      </c>
      <c r="K110">
        <v>1.9681999999999999</v>
      </c>
      <c r="L110">
        <v>1.786</v>
      </c>
      <c r="M110">
        <v>0.96199999999999997</v>
      </c>
      <c r="N110">
        <v>19.440000000000001</v>
      </c>
      <c r="O110">
        <v>144.833</v>
      </c>
      <c r="P110">
        <v>79.287999999999997</v>
      </c>
      <c r="Q110">
        <v>96.613</v>
      </c>
      <c r="R110">
        <v>1.7471000000000001</v>
      </c>
      <c r="S110">
        <v>98.48</v>
      </c>
      <c r="T110">
        <v>110.98</v>
      </c>
      <c r="U110">
        <v>437.35</v>
      </c>
      <c r="V110">
        <v>962.05</v>
      </c>
      <c r="W110">
        <v>1240.8900000000001</v>
      </c>
      <c r="X110">
        <v>1019.39</v>
      </c>
      <c r="Y110">
        <v>63072.31</v>
      </c>
      <c r="Z110" t="s">
        <v>103</v>
      </c>
      <c r="AA110" t="s">
        <v>103</v>
      </c>
      <c r="AB110" t="s">
        <v>103</v>
      </c>
      <c r="AC110">
        <v>10.5145</v>
      </c>
      <c r="AD110">
        <v>10.0465</v>
      </c>
      <c r="AE110">
        <v>9.5553000000000008</v>
      </c>
      <c r="AF110">
        <v>10.31</v>
      </c>
      <c r="AG110">
        <v>1.3084</v>
      </c>
      <c r="AH110">
        <v>76.27</v>
      </c>
      <c r="AI110">
        <v>1.5760000000000001</v>
      </c>
      <c r="AJ110">
        <v>1.0025999999999999</v>
      </c>
      <c r="AK110">
        <v>6.8</v>
      </c>
      <c r="AL110">
        <v>0.92020000000000002</v>
      </c>
      <c r="AM110">
        <v>139.56</v>
      </c>
      <c r="AN110">
        <v>103.36</v>
      </c>
      <c r="AO110">
        <v>114.31</v>
      </c>
      <c r="AP110">
        <v>97.11</v>
      </c>
      <c r="AQ110">
        <v>93.04</v>
      </c>
    </row>
    <row r="111" spans="1:43" x14ac:dyDescent="0.25">
      <c r="A111" s="1">
        <v>40968</v>
      </c>
      <c r="B111">
        <v>7.6300000000000007E-2</v>
      </c>
      <c r="C111">
        <v>0.48699999999999999</v>
      </c>
      <c r="D111">
        <v>3.5999999999999997E-2</v>
      </c>
      <c r="E111">
        <v>0.107</v>
      </c>
      <c r="F111">
        <v>0.29320000000000002</v>
      </c>
      <c r="G111">
        <v>0.40820000000000001</v>
      </c>
      <c r="H111">
        <v>0.188</v>
      </c>
      <c r="I111">
        <v>0.107</v>
      </c>
      <c r="J111">
        <v>1.9704999999999999</v>
      </c>
      <c r="K111">
        <v>2.1465999999999998</v>
      </c>
      <c r="L111">
        <v>1.8169999999999999</v>
      </c>
      <c r="M111">
        <v>0.95799999999999996</v>
      </c>
      <c r="N111">
        <v>18.43</v>
      </c>
      <c r="O111">
        <v>141.006</v>
      </c>
      <c r="P111">
        <v>78.736999999999995</v>
      </c>
      <c r="Q111">
        <v>94.524199999999993</v>
      </c>
      <c r="R111">
        <v>1.7177</v>
      </c>
      <c r="S111">
        <v>107.07</v>
      </c>
      <c r="T111">
        <v>122.66</v>
      </c>
      <c r="U111">
        <v>443.31</v>
      </c>
      <c r="V111">
        <v>949.42</v>
      </c>
      <c r="W111">
        <v>1298.72</v>
      </c>
      <c r="X111">
        <v>1079.44</v>
      </c>
      <c r="Y111">
        <v>65811.73</v>
      </c>
      <c r="Z111" t="s">
        <v>103</v>
      </c>
      <c r="AA111" t="s">
        <v>103</v>
      </c>
      <c r="AB111" t="s">
        <v>103</v>
      </c>
      <c r="AC111">
        <v>10.3766</v>
      </c>
      <c r="AD111">
        <v>9.8157999999999994</v>
      </c>
      <c r="AE111">
        <v>9.2393999999999998</v>
      </c>
      <c r="AF111">
        <v>10.27</v>
      </c>
      <c r="AG111">
        <v>1.3325</v>
      </c>
      <c r="AH111">
        <v>81.150000000000006</v>
      </c>
      <c r="AI111">
        <v>1.5916999999999999</v>
      </c>
      <c r="AJ111">
        <v>0.9899</v>
      </c>
      <c r="AK111">
        <v>6.6193999999999997</v>
      </c>
      <c r="AL111">
        <v>0.90439999999999998</v>
      </c>
      <c r="AM111">
        <v>152.38</v>
      </c>
      <c r="AN111">
        <v>104.68</v>
      </c>
      <c r="AO111">
        <v>115.23</v>
      </c>
      <c r="AP111">
        <v>98.04</v>
      </c>
      <c r="AQ111">
        <v>94.44</v>
      </c>
    </row>
    <row r="112" spans="1:43" x14ac:dyDescent="0.25">
      <c r="A112" s="1">
        <v>40998</v>
      </c>
      <c r="B112">
        <v>6.6100000000000006E-2</v>
      </c>
      <c r="C112">
        <v>0.48699999999999999</v>
      </c>
      <c r="D112">
        <v>-2.5000000000000001E-2</v>
      </c>
      <c r="E112">
        <v>0.104</v>
      </c>
      <c r="F112">
        <v>0.32869999999999999</v>
      </c>
      <c r="G112">
        <v>0.41499999999999998</v>
      </c>
      <c r="H112">
        <v>0.20399999999999999</v>
      </c>
      <c r="I112">
        <v>0.113</v>
      </c>
      <c r="J112">
        <v>2.2088000000000001</v>
      </c>
      <c r="K112">
        <v>2.2014</v>
      </c>
      <c r="L112">
        <v>1.792</v>
      </c>
      <c r="M112">
        <v>0.98399999999999999</v>
      </c>
      <c r="N112">
        <v>15.5</v>
      </c>
      <c r="O112">
        <v>122.17</v>
      </c>
      <c r="P112">
        <v>79.004000000000005</v>
      </c>
      <c r="Q112">
        <v>94.913200000000003</v>
      </c>
      <c r="R112">
        <v>1.8263</v>
      </c>
      <c r="S112">
        <v>103.02</v>
      </c>
      <c r="T112">
        <v>122.88</v>
      </c>
      <c r="U112">
        <v>440.46</v>
      </c>
      <c r="V112">
        <v>923.66</v>
      </c>
      <c r="W112">
        <v>1312.01</v>
      </c>
      <c r="X112">
        <v>1041.45</v>
      </c>
      <c r="Y112">
        <v>64510.97</v>
      </c>
      <c r="Z112" t="s">
        <v>103</v>
      </c>
      <c r="AA112" t="s">
        <v>103</v>
      </c>
      <c r="AB112" t="s">
        <v>103</v>
      </c>
      <c r="AC112">
        <v>10.183</v>
      </c>
      <c r="AD112">
        <v>9.7234999999999996</v>
      </c>
      <c r="AE112">
        <v>8.9776000000000007</v>
      </c>
      <c r="AF112">
        <v>9.52</v>
      </c>
      <c r="AG112">
        <v>1.3343</v>
      </c>
      <c r="AH112">
        <v>82.87</v>
      </c>
      <c r="AI112">
        <v>1.6008</v>
      </c>
      <c r="AJ112">
        <v>0.99870000000000003</v>
      </c>
      <c r="AK112">
        <v>6.6147</v>
      </c>
      <c r="AL112">
        <v>0.90249999999999997</v>
      </c>
      <c r="AM112">
        <v>181.49</v>
      </c>
      <c r="AN112">
        <v>116.18</v>
      </c>
      <c r="AO112">
        <v>114.69</v>
      </c>
      <c r="AP112">
        <v>97.82</v>
      </c>
      <c r="AQ112">
        <v>102.12</v>
      </c>
    </row>
    <row r="113" spans="1:43" x14ac:dyDescent="0.25">
      <c r="A113" s="1">
        <v>41029</v>
      </c>
      <c r="B113">
        <v>9.1499999999999998E-2</v>
      </c>
      <c r="C113">
        <v>0.48699999999999999</v>
      </c>
      <c r="D113">
        <v>0</v>
      </c>
      <c r="E113">
        <v>0.104</v>
      </c>
      <c r="F113">
        <v>0.25590000000000002</v>
      </c>
      <c r="G113">
        <v>0.44500000000000001</v>
      </c>
      <c r="H113">
        <v>7.5999999999999998E-2</v>
      </c>
      <c r="I113">
        <v>0.10299999999999999</v>
      </c>
      <c r="J113">
        <v>1.9137</v>
      </c>
      <c r="K113">
        <v>2.1109</v>
      </c>
      <c r="L113">
        <v>1.6619999999999999</v>
      </c>
      <c r="M113">
        <v>0.89200000000000002</v>
      </c>
      <c r="N113">
        <v>17.149999999999999</v>
      </c>
      <c r="O113">
        <v>122.916</v>
      </c>
      <c r="P113">
        <v>78.775999999999996</v>
      </c>
      <c r="Q113">
        <v>95.742999999999995</v>
      </c>
      <c r="R113">
        <v>1.9073</v>
      </c>
      <c r="S113">
        <v>104.87</v>
      </c>
      <c r="T113">
        <v>119.47</v>
      </c>
      <c r="U113">
        <v>425.29</v>
      </c>
      <c r="V113">
        <v>919.45</v>
      </c>
      <c r="W113">
        <v>1293.99</v>
      </c>
      <c r="X113">
        <v>1026.02</v>
      </c>
      <c r="Y113">
        <v>61820.26</v>
      </c>
      <c r="Z113" t="s">
        <v>103</v>
      </c>
      <c r="AA113" t="s">
        <v>103</v>
      </c>
      <c r="AB113" t="s">
        <v>103</v>
      </c>
      <c r="AC113">
        <v>9.5221</v>
      </c>
      <c r="AD113">
        <v>8.9964999999999993</v>
      </c>
      <c r="AE113">
        <v>8.3338000000000001</v>
      </c>
      <c r="AF113">
        <v>8.6999999999999993</v>
      </c>
      <c r="AG113">
        <v>1.3239000000000001</v>
      </c>
      <c r="AH113">
        <v>79.819999999999993</v>
      </c>
      <c r="AI113">
        <v>1.6234</v>
      </c>
      <c r="AJ113">
        <v>0.98719999999999997</v>
      </c>
      <c r="AK113">
        <v>6.7232000000000003</v>
      </c>
      <c r="AL113">
        <v>0.90749999999999997</v>
      </c>
      <c r="AM113">
        <v>160.75</v>
      </c>
      <c r="AN113">
        <v>108.1</v>
      </c>
      <c r="AO113">
        <v>114.61</v>
      </c>
      <c r="AP113">
        <v>98.3</v>
      </c>
      <c r="AQ113">
        <v>97.58</v>
      </c>
    </row>
    <row r="114" spans="1:43" x14ac:dyDescent="0.25">
      <c r="A114" s="1">
        <v>41060</v>
      </c>
      <c r="B114">
        <v>6.59E-2</v>
      </c>
      <c r="C114">
        <v>0.48699999999999999</v>
      </c>
      <c r="D114">
        <v>-2.5000000000000001E-2</v>
      </c>
      <c r="E114">
        <v>0.107</v>
      </c>
      <c r="F114">
        <v>0.26179999999999998</v>
      </c>
      <c r="G114">
        <v>0.2278</v>
      </c>
      <c r="H114">
        <v>7.0000000000000001E-3</v>
      </c>
      <c r="I114">
        <v>0.10100000000000001</v>
      </c>
      <c r="J114">
        <v>1.5578000000000001</v>
      </c>
      <c r="K114">
        <v>1.5683</v>
      </c>
      <c r="L114">
        <v>1.1990000000000001</v>
      </c>
      <c r="M114">
        <v>0.81899999999999995</v>
      </c>
      <c r="N114">
        <v>24.06</v>
      </c>
      <c r="O114">
        <v>171.13300000000001</v>
      </c>
      <c r="P114">
        <v>83.043000000000006</v>
      </c>
      <c r="Q114">
        <v>97.8078</v>
      </c>
      <c r="R114">
        <v>2.0226000000000002</v>
      </c>
      <c r="S114">
        <v>86.53</v>
      </c>
      <c r="T114">
        <v>101.87</v>
      </c>
      <c r="U114">
        <v>418.66</v>
      </c>
      <c r="V114">
        <v>854.4</v>
      </c>
      <c r="W114">
        <v>1177.6400000000001</v>
      </c>
      <c r="X114">
        <v>906.3</v>
      </c>
      <c r="Y114">
        <v>54490.41</v>
      </c>
      <c r="Z114" t="s">
        <v>103</v>
      </c>
      <c r="AA114" t="s">
        <v>103</v>
      </c>
      <c r="AB114" t="s">
        <v>103</v>
      </c>
      <c r="AC114">
        <v>9.1722000000000001</v>
      </c>
      <c r="AD114">
        <v>8.4893000000000001</v>
      </c>
      <c r="AE114">
        <v>7.9481999999999999</v>
      </c>
      <c r="AF114">
        <v>8.33</v>
      </c>
      <c r="AG114">
        <v>1.2364999999999999</v>
      </c>
      <c r="AH114">
        <v>78.319999999999993</v>
      </c>
      <c r="AI114">
        <v>1.5405</v>
      </c>
      <c r="AJ114">
        <v>1.0327999999999999</v>
      </c>
      <c r="AK114">
        <v>7.2683999999999997</v>
      </c>
      <c r="AL114">
        <v>0.97130000000000005</v>
      </c>
      <c r="AM114">
        <v>173.59</v>
      </c>
      <c r="AN114">
        <v>119.39</v>
      </c>
      <c r="AO114">
        <v>115.2</v>
      </c>
      <c r="AP114">
        <v>99.44</v>
      </c>
      <c r="AQ114">
        <v>100.87</v>
      </c>
    </row>
    <row r="115" spans="1:43" x14ac:dyDescent="0.25">
      <c r="A115" s="1">
        <v>41089</v>
      </c>
      <c r="B115">
        <v>8.1100000000000005E-2</v>
      </c>
      <c r="C115">
        <v>0.48699999999999999</v>
      </c>
      <c r="D115">
        <v>-2.1000000000000001E-2</v>
      </c>
      <c r="E115">
        <v>0.104</v>
      </c>
      <c r="F115">
        <v>0.30109999999999998</v>
      </c>
      <c r="G115">
        <v>0.2732</v>
      </c>
      <c r="H115">
        <v>0.12</v>
      </c>
      <c r="I115">
        <v>0.109</v>
      </c>
      <c r="J115">
        <v>1.6449</v>
      </c>
      <c r="K115">
        <v>1.7314000000000001</v>
      </c>
      <c r="L115">
        <v>1.581</v>
      </c>
      <c r="M115">
        <v>0.83199999999999996</v>
      </c>
      <c r="N115">
        <v>17.079999999999998</v>
      </c>
      <c r="O115">
        <v>157.24600000000001</v>
      </c>
      <c r="P115">
        <v>81.626999999999995</v>
      </c>
      <c r="Q115">
        <v>99.219300000000004</v>
      </c>
      <c r="R115">
        <v>2.0093000000000001</v>
      </c>
      <c r="S115">
        <v>84.96</v>
      </c>
      <c r="T115">
        <v>97.8</v>
      </c>
      <c r="U115">
        <v>439.28</v>
      </c>
      <c r="V115">
        <v>819.79</v>
      </c>
      <c r="W115">
        <v>1235.72</v>
      </c>
      <c r="X115">
        <v>937.35</v>
      </c>
      <c r="Y115">
        <v>54354.63</v>
      </c>
      <c r="Z115" t="s">
        <v>103</v>
      </c>
      <c r="AA115" t="s">
        <v>103</v>
      </c>
      <c r="AB115" t="s">
        <v>103</v>
      </c>
      <c r="AC115">
        <v>8.7882999999999996</v>
      </c>
      <c r="AD115">
        <v>8.1860999999999997</v>
      </c>
      <c r="AE115">
        <v>7.5857000000000001</v>
      </c>
      <c r="AF115">
        <v>8.3800000000000008</v>
      </c>
      <c r="AG115">
        <v>1.2666999999999999</v>
      </c>
      <c r="AH115">
        <v>79.790000000000006</v>
      </c>
      <c r="AI115">
        <v>1.5707</v>
      </c>
      <c r="AJ115">
        <v>1.0165999999999999</v>
      </c>
      <c r="AK115">
        <v>6.9223999999999997</v>
      </c>
      <c r="AL115">
        <v>0.94850000000000001</v>
      </c>
      <c r="AM115">
        <v>162.11000000000001</v>
      </c>
      <c r="AN115">
        <v>114.5</v>
      </c>
      <c r="AO115">
        <v>115.45</v>
      </c>
      <c r="AP115">
        <v>100.15</v>
      </c>
      <c r="AQ115">
        <v>99.27</v>
      </c>
    </row>
    <row r="116" spans="1:43" x14ac:dyDescent="0.25">
      <c r="A116" s="1">
        <v>41121</v>
      </c>
      <c r="B116">
        <v>9.6299999999999997E-2</v>
      </c>
      <c r="C116">
        <v>0.32</v>
      </c>
      <c r="D116">
        <v>-0.17</v>
      </c>
      <c r="E116">
        <v>0.10199999999999999</v>
      </c>
      <c r="F116">
        <v>0.21129999999999999</v>
      </c>
      <c r="G116">
        <v>8.0100000000000005E-2</v>
      </c>
      <c r="H116">
        <v>-9.4E-2</v>
      </c>
      <c r="I116">
        <v>9.8000000000000004E-2</v>
      </c>
      <c r="J116">
        <v>1.4679</v>
      </c>
      <c r="K116">
        <v>1.4682999999999999</v>
      </c>
      <c r="L116">
        <v>1.284</v>
      </c>
      <c r="M116">
        <v>0.78900000000000003</v>
      </c>
      <c r="N116">
        <v>18.93</v>
      </c>
      <c r="O116">
        <v>132.66999999999999</v>
      </c>
      <c r="P116">
        <v>82.635000000000005</v>
      </c>
      <c r="Q116">
        <v>97.993300000000005</v>
      </c>
      <c r="R116">
        <v>2.0569000000000002</v>
      </c>
      <c r="S116">
        <v>88.06</v>
      </c>
      <c r="T116">
        <v>104.92</v>
      </c>
      <c r="U116">
        <v>455.78</v>
      </c>
      <c r="V116">
        <v>791.68</v>
      </c>
      <c r="W116">
        <v>1250.57</v>
      </c>
      <c r="X116">
        <v>952.49</v>
      </c>
      <c r="Y116">
        <v>56097.05</v>
      </c>
      <c r="Z116" t="s">
        <v>103</v>
      </c>
      <c r="AA116" t="s">
        <v>103</v>
      </c>
      <c r="AB116" t="s">
        <v>103</v>
      </c>
      <c r="AC116">
        <v>8.6483000000000008</v>
      </c>
      <c r="AD116">
        <v>8.1971000000000007</v>
      </c>
      <c r="AE116">
        <v>7.4642999999999997</v>
      </c>
      <c r="AF116">
        <v>7.83</v>
      </c>
      <c r="AG116">
        <v>1.2303999999999999</v>
      </c>
      <c r="AH116">
        <v>78.12</v>
      </c>
      <c r="AI116">
        <v>1.5678000000000001</v>
      </c>
      <c r="AJ116">
        <v>1.0031000000000001</v>
      </c>
      <c r="AK116">
        <v>6.7988</v>
      </c>
      <c r="AL116">
        <v>0.97640000000000005</v>
      </c>
      <c r="AM116">
        <v>172.6</v>
      </c>
      <c r="AN116">
        <v>121.77</v>
      </c>
      <c r="AO116">
        <v>116.99</v>
      </c>
      <c r="AP116">
        <v>100.32</v>
      </c>
      <c r="AQ116">
        <v>102.89</v>
      </c>
    </row>
    <row r="117" spans="1:43" x14ac:dyDescent="0.25">
      <c r="A117" s="1">
        <v>41152</v>
      </c>
      <c r="B117">
        <v>7.0999999999999994E-2</v>
      </c>
      <c r="C117">
        <v>0.27400000000000002</v>
      </c>
      <c r="D117">
        <v>-0.114</v>
      </c>
      <c r="E117">
        <v>0.104</v>
      </c>
      <c r="F117">
        <v>0.2205</v>
      </c>
      <c r="G117">
        <v>7.0900000000000005E-2</v>
      </c>
      <c r="H117">
        <v>-3.6999999999999998E-2</v>
      </c>
      <c r="I117">
        <v>0.09</v>
      </c>
      <c r="J117">
        <v>1.5484</v>
      </c>
      <c r="K117">
        <v>1.4626999999999999</v>
      </c>
      <c r="L117">
        <v>1.333</v>
      </c>
      <c r="M117">
        <v>0.79200000000000004</v>
      </c>
      <c r="N117">
        <v>17.47</v>
      </c>
      <c r="O117">
        <v>131.01900000000001</v>
      </c>
      <c r="P117">
        <v>81.207999999999998</v>
      </c>
      <c r="Q117">
        <v>97.448499999999996</v>
      </c>
      <c r="R117">
        <v>2.0297000000000001</v>
      </c>
      <c r="S117">
        <v>96.47</v>
      </c>
      <c r="T117">
        <v>114.57</v>
      </c>
      <c r="U117">
        <v>452.13</v>
      </c>
      <c r="V117">
        <v>849.03</v>
      </c>
      <c r="W117">
        <v>1279.21</v>
      </c>
      <c r="X117">
        <v>947.33</v>
      </c>
      <c r="Y117">
        <v>57061.45</v>
      </c>
      <c r="Z117" t="s">
        <v>103</v>
      </c>
      <c r="AA117" t="s">
        <v>103</v>
      </c>
      <c r="AB117" t="s">
        <v>103</v>
      </c>
      <c r="AC117">
        <v>8.6641999999999992</v>
      </c>
      <c r="AD117">
        <v>8.2837999999999994</v>
      </c>
      <c r="AE117">
        <v>7.5126999999999997</v>
      </c>
      <c r="AF117">
        <v>7.38</v>
      </c>
      <c r="AG117">
        <v>1.2579</v>
      </c>
      <c r="AH117">
        <v>78.39</v>
      </c>
      <c r="AI117">
        <v>1.5866</v>
      </c>
      <c r="AJ117">
        <v>0.98629999999999995</v>
      </c>
      <c r="AK117">
        <v>6.6261000000000001</v>
      </c>
      <c r="AL117">
        <v>0.95489999999999997</v>
      </c>
      <c r="AM117">
        <v>182.23</v>
      </c>
      <c r="AN117">
        <v>129.94999999999999</v>
      </c>
      <c r="AO117">
        <v>119.55</v>
      </c>
      <c r="AP117">
        <v>100.66</v>
      </c>
      <c r="AQ117">
        <v>104.6</v>
      </c>
    </row>
    <row r="118" spans="1:43" x14ac:dyDescent="0.25">
      <c r="A118" s="1">
        <v>41180</v>
      </c>
      <c r="B118">
        <v>9.1300000000000006E-2</v>
      </c>
      <c r="C118">
        <v>0.28000000000000003</v>
      </c>
      <c r="D118">
        <v>-4.2000000000000003E-2</v>
      </c>
      <c r="E118">
        <v>0.106</v>
      </c>
      <c r="F118">
        <v>0.23039999999999999</v>
      </c>
      <c r="G118">
        <v>0.18490000000000001</v>
      </c>
      <c r="H118">
        <v>1.7999999999999999E-2</v>
      </c>
      <c r="I118">
        <v>9.2999999999999999E-2</v>
      </c>
      <c r="J118">
        <v>1.6335</v>
      </c>
      <c r="K118">
        <v>1.7255</v>
      </c>
      <c r="L118">
        <v>1.4410000000000001</v>
      </c>
      <c r="M118">
        <v>0.77200000000000002</v>
      </c>
      <c r="N118">
        <v>15.73</v>
      </c>
      <c r="O118">
        <v>112.825</v>
      </c>
      <c r="P118">
        <v>79.935000000000002</v>
      </c>
      <c r="Q118">
        <v>96.388300000000001</v>
      </c>
      <c r="R118">
        <v>2.0257999999999998</v>
      </c>
      <c r="S118">
        <v>92.19</v>
      </c>
      <c r="T118">
        <v>112.39</v>
      </c>
      <c r="U118">
        <v>452.57</v>
      </c>
      <c r="V118">
        <v>903.8</v>
      </c>
      <c r="W118">
        <v>1311.5</v>
      </c>
      <c r="X118">
        <v>1002.66</v>
      </c>
      <c r="Y118">
        <v>59175.86</v>
      </c>
      <c r="Z118" t="s">
        <v>103</v>
      </c>
      <c r="AA118" t="s">
        <v>103</v>
      </c>
      <c r="AB118" t="s">
        <v>103</v>
      </c>
      <c r="AC118">
        <v>8.5815999999999999</v>
      </c>
      <c r="AD118">
        <v>8.16</v>
      </c>
      <c r="AE118">
        <v>7.48</v>
      </c>
      <c r="AF118">
        <v>7.36</v>
      </c>
      <c r="AG118">
        <v>1.286</v>
      </c>
      <c r="AH118">
        <v>77.959999999999994</v>
      </c>
      <c r="AI118">
        <v>1.6167</v>
      </c>
      <c r="AJ118">
        <v>0.98370000000000002</v>
      </c>
      <c r="AK118">
        <v>6.5650000000000004</v>
      </c>
      <c r="AL118">
        <v>0.93979999999999997</v>
      </c>
      <c r="AM118">
        <v>162.5</v>
      </c>
      <c r="AN118">
        <v>120.52</v>
      </c>
      <c r="AO118">
        <v>117.15</v>
      </c>
      <c r="AP118">
        <v>100.2</v>
      </c>
      <c r="AQ118">
        <v>98.8</v>
      </c>
    </row>
    <row r="119" spans="1:43" x14ac:dyDescent="0.25">
      <c r="A119" s="1">
        <v>41213</v>
      </c>
      <c r="B119">
        <v>0.1065</v>
      </c>
      <c r="C119">
        <v>0.27800000000000002</v>
      </c>
      <c r="D119">
        <v>-7.6999999999999999E-2</v>
      </c>
      <c r="E119">
        <v>0.10299999999999999</v>
      </c>
      <c r="F119">
        <v>0.28139999999999998</v>
      </c>
      <c r="G119">
        <v>0.26019999999999999</v>
      </c>
      <c r="H119">
        <v>3.5000000000000003E-2</v>
      </c>
      <c r="I119">
        <v>9.5000000000000001E-2</v>
      </c>
      <c r="J119">
        <v>1.6900999999999999</v>
      </c>
      <c r="K119">
        <v>1.8506</v>
      </c>
      <c r="L119">
        <v>1.462</v>
      </c>
      <c r="M119">
        <v>0.77</v>
      </c>
      <c r="N119">
        <v>18.600000000000001</v>
      </c>
      <c r="O119">
        <v>112.32299999999999</v>
      </c>
      <c r="P119">
        <v>79.918999999999997</v>
      </c>
      <c r="Q119">
        <v>95.727699999999999</v>
      </c>
      <c r="R119">
        <v>2.0299</v>
      </c>
      <c r="S119">
        <v>86.24</v>
      </c>
      <c r="T119">
        <v>108.7</v>
      </c>
      <c r="U119">
        <v>444.05</v>
      </c>
      <c r="V119">
        <v>826.54</v>
      </c>
      <c r="W119">
        <v>1301.52</v>
      </c>
      <c r="X119">
        <v>995.33</v>
      </c>
      <c r="Y119">
        <v>57068.18</v>
      </c>
      <c r="Z119" t="s">
        <v>103</v>
      </c>
      <c r="AA119" t="s">
        <v>103</v>
      </c>
      <c r="AB119" t="s">
        <v>103</v>
      </c>
      <c r="AC119">
        <v>8.0925999999999991</v>
      </c>
      <c r="AD119">
        <v>7.7474999999999996</v>
      </c>
      <c r="AE119">
        <v>7.2558999999999996</v>
      </c>
      <c r="AF119">
        <v>7.09</v>
      </c>
      <c r="AG119">
        <v>1.296</v>
      </c>
      <c r="AH119">
        <v>79.77</v>
      </c>
      <c r="AI119">
        <v>1.6129</v>
      </c>
      <c r="AJ119">
        <v>0.99939999999999996</v>
      </c>
      <c r="AK119">
        <v>6.6345999999999998</v>
      </c>
      <c r="AL119">
        <v>0.93149999999999999</v>
      </c>
      <c r="AM119">
        <v>179.48</v>
      </c>
      <c r="AN119">
        <v>130.27000000000001</v>
      </c>
      <c r="AO119">
        <v>118.93</v>
      </c>
      <c r="AP119">
        <v>101.05</v>
      </c>
      <c r="AQ119">
        <v>103.06</v>
      </c>
    </row>
    <row r="120" spans="1:43" x14ac:dyDescent="0.25">
      <c r="A120" s="1">
        <v>41243</v>
      </c>
      <c r="B120">
        <v>7.6100000000000001E-2</v>
      </c>
      <c r="C120">
        <v>0.26600000000000001</v>
      </c>
      <c r="D120">
        <v>-5.2999999999999999E-2</v>
      </c>
      <c r="E120">
        <v>0.106</v>
      </c>
      <c r="F120">
        <v>0.24610000000000001</v>
      </c>
      <c r="G120">
        <v>0.31059999999999999</v>
      </c>
      <c r="H120">
        <v>7.0000000000000001E-3</v>
      </c>
      <c r="I120">
        <v>9.2999999999999999E-2</v>
      </c>
      <c r="J120">
        <v>1.6155999999999999</v>
      </c>
      <c r="K120">
        <v>1.7730999999999999</v>
      </c>
      <c r="L120">
        <v>1.385</v>
      </c>
      <c r="M120">
        <v>0.71</v>
      </c>
      <c r="N120">
        <v>15.87</v>
      </c>
      <c r="O120">
        <v>110.815</v>
      </c>
      <c r="P120">
        <v>80.153000000000006</v>
      </c>
      <c r="Q120">
        <v>96.085400000000007</v>
      </c>
      <c r="R120">
        <v>2.1360000000000001</v>
      </c>
      <c r="S120">
        <v>88.91</v>
      </c>
      <c r="T120">
        <v>111.23</v>
      </c>
      <c r="U120">
        <v>441.06</v>
      </c>
      <c r="V120">
        <v>887.9</v>
      </c>
      <c r="W120">
        <v>1315.49</v>
      </c>
      <c r="X120">
        <v>1007.02</v>
      </c>
      <c r="Y120">
        <v>57474.57</v>
      </c>
      <c r="Z120" t="s">
        <v>103</v>
      </c>
      <c r="AA120" t="s">
        <v>103</v>
      </c>
      <c r="AB120" t="s">
        <v>103</v>
      </c>
      <c r="AC120">
        <v>8.3145000000000007</v>
      </c>
      <c r="AD120">
        <v>7.7613000000000003</v>
      </c>
      <c r="AE120">
        <v>7.1811999999999996</v>
      </c>
      <c r="AF120">
        <v>7.06</v>
      </c>
      <c r="AG120">
        <v>1.2986</v>
      </c>
      <c r="AH120">
        <v>82.48</v>
      </c>
      <c r="AI120">
        <v>1.6012999999999999</v>
      </c>
      <c r="AJ120">
        <v>0.99439999999999995</v>
      </c>
      <c r="AK120">
        <v>6.6608000000000001</v>
      </c>
      <c r="AL120">
        <v>0.92810000000000004</v>
      </c>
      <c r="AM120">
        <v>174.98</v>
      </c>
      <c r="AN120">
        <v>122.16</v>
      </c>
      <c r="AO120">
        <v>117.35</v>
      </c>
      <c r="AP120">
        <v>100.93</v>
      </c>
      <c r="AQ120">
        <v>100.58</v>
      </c>
    </row>
    <row r="121" spans="1:43" x14ac:dyDescent="0.25">
      <c r="A121" s="1">
        <v>41274</v>
      </c>
      <c r="B121">
        <v>4.0599999999999997E-2</v>
      </c>
      <c r="C121">
        <v>0.27</v>
      </c>
      <c r="D121">
        <v>-5.1999999999999998E-2</v>
      </c>
      <c r="E121">
        <v>0.109</v>
      </c>
      <c r="F121">
        <v>0.24679999999999999</v>
      </c>
      <c r="G121">
        <v>0.31559999999999999</v>
      </c>
      <c r="H121">
        <v>-2.1000000000000001E-2</v>
      </c>
      <c r="I121">
        <v>9.2999999999999999E-2</v>
      </c>
      <c r="J121">
        <v>1.7574000000000001</v>
      </c>
      <c r="K121">
        <v>1.8257000000000001</v>
      </c>
      <c r="L121">
        <v>1.3140000000000001</v>
      </c>
      <c r="M121">
        <v>0.78600000000000003</v>
      </c>
      <c r="N121">
        <v>18.02</v>
      </c>
      <c r="O121">
        <v>108.449</v>
      </c>
      <c r="P121">
        <v>79.769000000000005</v>
      </c>
      <c r="Q121">
        <v>95.530900000000003</v>
      </c>
      <c r="R121">
        <v>2.0428000000000002</v>
      </c>
      <c r="S121">
        <v>91.82</v>
      </c>
      <c r="T121">
        <v>111.11</v>
      </c>
      <c r="U121">
        <v>423.87</v>
      </c>
      <c r="V121">
        <v>919.27</v>
      </c>
      <c r="W121">
        <v>1338.5</v>
      </c>
      <c r="X121">
        <v>1055.2</v>
      </c>
      <c r="Y121">
        <v>60952.08</v>
      </c>
      <c r="Z121" t="s">
        <v>103</v>
      </c>
      <c r="AA121" t="s">
        <v>103</v>
      </c>
      <c r="AB121" t="s">
        <v>103</v>
      </c>
      <c r="AC121">
        <v>8.1829999999999998</v>
      </c>
      <c r="AD121">
        <v>7.6996000000000002</v>
      </c>
      <c r="AE121">
        <v>7.1288999999999998</v>
      </c>
      <c r="AF121">
        <v>6.9</v>
      </c>
      <c r="AG121">
        <v>1.3192999999999999</v>
      </c>
      <c r="AH121">
        <v>86.75</v>
      </c>
      <c r="AI121">
        <v>1.6254999999999999</v>
      </c>
      <c r="AJ121">
        <v>0.99209999999999998</v>
      </c>
      <c r="AK121">
        <v>6.5031999999999996</v>
      </c>
      <c r="AL121">
        <v>0.91539999999999999</v>
      </c>
      <c r="AM121">
        <v>152.27000000000001</v>
      </c>
      <c r="AN121">
        <v>107.49</v>
      </c>
      <c r="AO121">
        <v>118.07</v>
      </c>
      <c r="AP121">
        <v>100.52</v>
      </c>
      <c r="AQ121">
        <v>97.35</v>
      </c>
    </row>
    <row r="122" spans="1:43" x14ac:dyDescent="0.25">
      <c r="A122" s="1">
        <v>41305</v>
      </c>
      <c r="B122">
        <v>7.0999999999999994E-2</v>
      </c>
      <c r="C122">
        <v>0.28699999999999998</v>
      </c>
      <c r="D122">
        <v>4.5999999999999999E-2</v>
      </c>
      <c r="E122">
        <v>9.8000000000000004E-2</v>
      </c>
      <c r="F122">
        <v>0.26179999999999998</v>
      </c>
      <c r="G122">
        <v>0.37359999999999999</v>
      </c>
      <c r="H122">
        <v>0.26600000000000001</v>
      </c>
      <c r="I122">
        <v>7.0000000000000007E-2</v>
      </c>
      <c r="J122">
        <v>1.9849000000000001</v>
      </c>
      <c r="K122">
        <v>2.0956000000000001</v>
      </c>
      <c r="L122">
        <v>1.679</v>
      </c>
      <c r="M122">
        <v>0.749</v>
      </c>
      <c r="N122">
        <v>14.28</v>
      </c>
      <c r="O122">
        <v>116.33799999999999</v>
      </c>
      <c r="P122">
        <v>79.206999999999994</v>
      </c>
      <c r="Q122">
        <v>94.877200000000002</v>
      </c>
      <c r="R122">
        <v>1.9916</v>
      </c>
      <c r="S122">
        <v>97.49</v>
      </c>
      <c r="T122">
        <v>115.55</v>
      </c>
      <c r="U122">
        <v>423.01</v>
      </c>
      <c r="V122">
        <v>942.63</v>
      </c>
      <c r="W122">
        <v>1405.47</v>
      </c>
      <c r="X122">
        <v>1069.01</v>
      </c>
      <c r="Y122">
        <v>59761.49</v>
      </c>
      <c r="Z122" t="s">
        <v>103</v>
      </c>
      <c r="AA122" t="s">
        <v>103</v>
      </c>
      <c r="AB122" t="s">
        <v>103</v>
      </c>
      <c r="AC122">
        <v>8.5167999999999999</v>
      </c>
      <c r="AD122">
        <v>7.9936999999999996</v>
      </c>
      <c r="AE122">
        <v>7.2554999999999996</v>
      </c>
      <c r="AF122">
        <v>6.95</v>
      </c>
      <c r="AG122">
        <v>1.3579000000000001</v>
      </c>
      <c r="AH122">
        <v>91.71</v>
      </c>
      <c r="AI122">
        <v>1.5857000000000001</v>
      </c>
      <c r="AJ122">
        <v>0.99719999999999998</v>
      </c>
      <c r="AK122">
        <v>6.3616999999999999</v>
      </c>
      <c r="AL122">
        <v>0.91</v>
      </c>
      <c r="AM122">
        <v>164.38</v>
      </c>
      <c r="AN122">
        <v>110.12</v>
      </c>
      <c r="AO122">
        <v>119.18</v>
      </c>
      <c r="AP122">
        <v>101.14</v>
      </c>
      <c r="AQ122">
        <v>97.21</v>
      </c>
    </row>
    <row r="123" spans="1:43" x14ac:dyDescent="0.25">
      <c r="A123" s="1">
        <v>41333</v>
      </c>
      <c r="B123">
        <v>0.1014</v>
      </c>
      <c r="C123">
        <v>6.9000000000000006E-2</v>
      </c>
      <c r="D123">
        <v>-3.4000000000000002E-2</v>
      </c>
      <c r="E123">
        <v>6.7000000000000004E-2</v>
      </c>
      <c r="F123">
        <v>0.23430000000000001</v>
      </c>
      <c r="G123">
        <v>0.23780000000000001</v>
      </c>
      <c r="H123">
        <v>3.6999999999999998E-2</v>
      </c>
      <c r="I123">
        <v>4.3999999999999997E-2</v>
      </c>
      <c r="J123">
        <v>1.8755999999999999</v>
      </c>
      <c r="K123">
        <v>1.9717</v>
      </c>
      <c r="L123">
        <v>1.4530000000000001</v>
      </c>
      <c r="M123">
        <v>0.65800000000000003</v>
      </c>
      <c r="N123">
        <v>15.51</v>
      </c>
      <c r="O123">
        <v>131.16300000000001</v>
      </c>
      <c r="P123">
        <v>81.948999999999998</v>
      </c>
      <c r="Q123">
        <v>95.058899999999994</v>
      </c>
      <c r="R123">
        <v>1.9775</v>
      </c>
      <c r="S123">
        <v>92.05</v>
      </c>
      <c r="T123">
        <v>111.38</v>
      </c>
      <c r="U123">
        <v>403.26</v>
      </c>
      <c r="V123">
        <v>913.11</v>
      </c>
      <c r="W123">
        <v>1405.18</v>
      </c>
      <c r="X123">
        <v>1054.6199999999999</v>
      </c>
      <c r="Y123">
        <v>57424.29</v>
      </c>
      <c r="Z123" t="s">
        <v>103</v>
      </c>
      <c r="AA123" t="s">
        <v>103</v>
      </c>
      <c r="AB123" t="s">
        <v>103</v>
      </c>
      <c r="AC123">
        <v>8.8388000000000009</v>
      </c>
      <c r="AD123">
        <v>8.3996999999999993</v>
      </c>
      <c r="AE123">
        <v>7.7245999999999997</v>
      </c>
      <c r="AF123">
        <v>6.98</v>
      </c>
      <c r="AG123">
        <v>1.3057000000000001</v>
      </c>
      <c r="AH123">
        <v>92.56</v>
      </c>
      <c r="AI123">
        <v>1.5163</v>
      </c>
      <c r="AJ123">
        <v>1.0306</v>
      </c>
      <c r="AK123">
        <v>6.4660000000000002</v>
      </c>
      <c r="AL123">
        <v>0.93669999999999998</v>
      </c>
      <c r="AM123">
        <v>166.01</v>
      </c>
      <c r="AN123">
        <v>102.62</v>
      </c>
      <c r="AO123">
        <v>115.74</v>
      </c>
      <c r="AP123">
        <v>100.24</v>
      </c>
      <c r="AQ123">
        <v>94.99</v>
      </c>
    </row>
    <row r="124" spans="1:43" x14ac:dyDescent="0.25">
      <c r="A124" s="1">
        <v>41362</v>
      </c>
      <c r="B124">
        <v>7.0999999999999994E-2</v>
      </c>
      <c r="C124">
        <v>0.35399999999999998</v>
      </c>
      <c r="D124">
        <v>-1.7000000000000001E-2</v>
      </c>
      <c r="E124">
        <v>4.2999999999999997E-2</v>
      </c>
      <c r="F124">
        <v>0.24210000000000001</v>
      </c>
      <c r="G124">
        <v>0.1993</v>
      </c>
      <c r="H124">
        <v>-2.5999999999999999E-2</v>
      </c>
      <c r="I124">
        <v>4.7E-2</v>
      </c>
      <c r="J124">
        <v>1.8486</v>
      </c>
      <c r="K124">
        <v>1.7666999999999999</v>
      </c>
      <c r="L124">
        <v>1.288</v>
      </c>
      <c r="M124">
        <v>0.54600000000000004</v>
      </c>
      <c r="N124">
        <v>12.7</v>
      </c>
      <c r="O124">
        <v>137.22</v>
      </c>
      <c r="P124">
        <v>82.975999999999999</v>
      </c>
      <c r="Q124">
        <v>94.778700000000001</v>
      </c>
      <c r="R124">
        <v>2.0219</v>
      </c>
      <c r="S124">
        <v>97.23</v>
      </c>
      <c r="T124">
        <v>110.02</v>
      </c>
      <c r="U124">
        <v>404.98</v>
      </c>
      <c r="V124">
        <v>898.08</v>
      </c>
      <c r="W124">
        <v>1434.51</v>
      </c>
      <c r="X124">
        <v>1034.9000000000001</v>
      </c>
      <c r="Y124">
        <v>56352.09</v>
      </c>
      <c r="Z124" t="s">
        <v>103</v>
      </c>
      <c r="AA124" t="s">
        <v>103</v>
      </c>
      <c r="AB124" t="s">
        <v>103</v>
      </c>
      <c r="AC124">
        <v>9.1713000000000005</v>
      </c>
      <c r="AD124">
        <v>8.6424000000000003</v>
      </c>
      <c r="AE124">
        <v>7.9339000000000004</v>
      </c>
      <c r="AF124">
        <v>7.01</v>
      </c>
      <c r="AG124">
        <v>1.2819</v>
      </c>
      <c r="AH124">
        <v>94.22</v>
      </c>
      <c r="AI124">
        <v>1.5198</v>
      </c>
      <c r="AJ124">
        <v>1.0174000000000001</v>
      </c>
      <c r="AK124">
        <v>6.5281000000000002</v>
      </c>
      <c r="AL124">
        <v>0.94920000000000004</v>
      </c>
      <c r="AM124">
        <v>187.79</v>
      </c>
      <c r="AN124">
        <v>113.85</v>
      </c>
      <c r="AO124">
        <v>118.09</v>
      </c>
      <c r="AP124">
        <v>101.17</v>
      </c>
      <c r="AQ124">
        <v>103.28</v>
      </c>
    </row>
    <row r="125" spans="1:43" x14ac:dyDescent="0.25">
      <c r="A125" s="1">
        <v>41394</v>
      </c>
      <c r="B125">
        <v>4.5600000000000002E-2</v>
      </c>
      <c r="C125">
        <v>0.34899999999999998</v>
      </c>
      <c r="D125">
        <v>-3.5000000000000003E-2</v>
      </c>
      <c r="E125">
        <v>9.0999999999999998E-2</v>
      </c>
      <c r="F125">
        <v>0.2074</v>
      </c>
      <c r="G125">
        <v>0.24099999999999999</v>
      </c>
      <c r="H125">
        <v>1.0999999999999999E-2</v>
      </c>
      <c r="I125">
        <v>0.123</v>
      </c>
      <c r="J125">
        <v>1.6717</v>
      </c>
      <c r="K125">
        <v>1.6883999999999999</v>
      </c>
      <c r="L125">
        <v>1.2150000000000001</v>
      </c>
      <c r="M125">
        <v>0.60399999999999998</v>
      </c>
      <c r="N125">
        <v>13.52</v>
      </c>
      <c r="O125">
        <v>109.01</v>
      </c>
      <c r="P125">
        <v>81.745999999999995</v>
      </c>
      <c r="Q125">
        <v>94.166700000000006</v>
      </c>
      <c r="R125">
        <v>2.0013999999999998</v>
      </c>
      <c r="S125">
        <v>93.46</v>
      </c>
      <c r="T125">
        <v>102.37</v>
      </c>
      <c r="U125">
        <v>413.64</v>
      </c>
      <c r="V125">
        <v>856.75</v>
      </c>
      <c r="W125">
        <v>1476.14</v>
      </c>
      <c r="X125">
        <v>1039.45</v>
      </c>
      <c r="Y125">
        <v>55910.37</v>
      </c>
      <c r="Z125" t="s">
        <v>103</v>
      </c>
      <c r="AA125" t="s">
        <v>103</v>
      </c>
      <c r="AB125" t="s">
        <v>103</v>
      </c>
      <c r="AC125">
        <v>8.6629000000000005</v>
      </c>
      <c r="AD125">
        <v>8.3818999999999999</v>
      </c>
      <c r="AE125">
        <v>8.0061999999999998</v>
      </c>
      <c r="AF125">
        <v>7.23</v>
      </c>
      <c r="AG125">
        <v>1.3168</v>
      </c>
      <c r="AH125">
        <v>97.45</v>
      </c>
      <c r="AI125">
        <v>1.5531999999999999</v>
      </c>
      <c r="AJ125">
        <v>1.0073000000000001</v>
      </c>
      <c r="AK125">
        <v>6.4832000000000001</v>
      </c>
      <c r="AL125">
        <v>0.92930000000000001</v>
      </c>
      <c r="AM125">
        <v>199.63</v>
      </c>
      <c r="AN125">
        <v>118.65</v>
      </c>
      <c r="AO125">
        <v>120.04</v>
      </c>
      <c r="AP125">
        <v>102.25</v>
      </c>
      <c r="AQ125">
        <v>104.52</v>
      </c>
    </row>
    <row r="126" spans="1:43" x14ac:dyDescent="0.25">
      <c r="A126" s="1">
        <v>41425</v>
      </c>
      <c r="B126">
        <v>2.53E-2</v>
      </c>
      <c r="C126">
        <v>0.32400000000000001</v>
      </c>
      <c r="D126">
        <v>-3.2000000000000001E-2</v>
      </c>
      <c r="E126">
        <v>7.4999999999999997E-2</v>
      </c>
      <c r="F126">
        <v>0.29330000000000001</v>
      </c>
      <c r="G126">
        <v>0.36940000000000001</v>
      </c>
      <c r="H126">
        <v>6.7000000000000004E-2</v>
      </c>
      <c r="I126">
        <v>0.14099999999999999</v>
      </c>
      <c r="J126">
        <v>2.1282000000000001</v>
      </c>
      <c r="K126">
        <v>2.0009000000000001</v>
      </c>
      <c r="L126">
        <v>1.504</v>
      </c>
      <c r="M126">
        <v>0.85199999999999998</v>
      </c>
      <c r="N126">
        <v>16.3</v>
      </c>
      <c r="O126">
        <v>146.98500000000001</v>
      </c>
      <c r="P126">
        <v>83.375</v>
      </c>
      <c r="Q126">
        <v>94.332700000000003</v>
      </c>
      <c r="R126">
        <v>2.1385999999999998</v>
      </c>
      <c r="S126">
        <v>91.97</v>
      </c>
      <c r="T126">
        <v>100.39</v>
      </c>
      <c r="U126">
        <v>407.4</v>
      </c>
      <c r="V126">
        <v>854.47</v>
      </c>
      <c r="W126">
        <v>1471.93</v>
      </c>
      <c r="X126">
        <v>1008.88</v>
      </c>
      <c r="Y126">
        <v>53506.080000000002</v>
      </c>
      <c r="Z126" t="s">
        <v>103</v>
      </c>
      <c r="AA126" t="s">
        <v>103</v>
      </c>
      <c r="AB126" t="s">
        <v>103</v>
      </c>
      <c r="AC126">
        <v>9.548</v>
      </c>
      <c r="AD126">
        <v>9.1432000000000002</v>
      </c>
      <c r="AE126">
        <v>8.6651000000000007</v>
      </c>
      <c r="AF126">
        <v>7.72</v>
      </c>
      <c r="AG126">
        <v>1.2999000000000001</v>
      </c>
      <c r="AH126">
        <v>100.45</v>
      </c>
      <c r="AI126">
        <v>1.5198</v>
      </c>
      <c r="AJ126">
        <v>1.0375000000000001</v>
      </c>
      <c r="AK126">
        <v>6.6201999999999996</v>
      </c>
      <c r="AL126">
        <v>0.95509999999999995</v>
      </c>
      <c r="AM126">
        <v>193.76</v>
      </c>
      <c r="AN126">
        <v>122.33</v>
      </c>
      <c r="AO126">
        <v>119.77</v>
      </c>
      <c r="AP126">
        <v>102.47</v>
      </c>
      <c r="AQ126">
        <v>102.59</v>
      </c>
    </row>
    <row r="127" spans="1:43" x14ac:dyDescent="0.25">
      <c r="A127" s="1">
        <v>41453</v>
      </c>
      <c r="B127">
        <v>3.04E-2</v>
      </c>
      <c r="C127">
        <v>0.33500000000000002</v>
      </c>
      <c r="D127">
        <v>0</v>
      </c>
      <c r="E127">
        <v>9.7000000000000003E-2</v>
      </c>
      <c r="F127">
        <v>0.35539999999999999</v>
      </c>
      <c r="G127">
        <v>0.38969999999999999</v>
      </c>
      <c r="H127">
        <v>0.187</v>
      </c>
      <c r="I127">
        <v>0.127</v>
      </c>
      <c r="J127">
        <v>2.4857</v>
      </c>
      <c r="K127">
        <v>2.4411999999999998</v>
      </c>
      <c r="L127">
        <v>1.728</v>
      </c>
      <c r="M127">
        <v>0.84799999999999998</v>
      </c>
      <c r="N127">
        <v>16.86</v>
      </c>
      <c r="O127">
        <v>184.995</v>
      </c>
      <c r="P127">
        <v>83.135999999999996</v>
      </c>
      <c r="Q127">
        <v>96.688599999999994</v>
      </c>
      <c r="R127">
        <v>2.2322000000000002</v>
      </c>
      <c r="S127">
        <v>96.56</v>
      </c>
      <c r="T127">
        <v>102.16</v>
      </c>
      <c r="U127">
        <v>403.4</v>
      </c>
      <c r="V127">
        <v>825.22</v>
      </c>
      <c r="W127">
        <v>1433.55</v>
      </c>
      <c r="X127">
        <v>940.33</v>
      </c>
      <c r="Y127">
        <v>47457.13</v>
      </c>
      <c r="Z127" t="s">
        <v>103</v>
      </c>
      <c r="AA127" t="s">
        <v>103</v>
      </c>
      <c r="AB127" t="s">
        <v>103</v>
      </c>
      <c r="AC127">
        <v>10.9373</v>
      </c>
      <c r="AD127">
        <v>10.243600000000001</v>
      </c>
      <c r="AE127">
        <v>9.3866999999999994</v>
      </c>
      <c r="AF127">
        <v>7.72</v>
      </c>
      <c r="AG127">
        <v>1.3009999999999999</v>
      </c>
      <c r="AH127">
        <v>99.14</v>
      </c>
      <c r="AI127">
        <v>1.5213000000000001</v>
      </c>
      <c r="AJ127">
        <v>1.0519000000000001</v>
      </c>
      <c r="AK127">
        <v>6.6999000000000004</v>
      </c>
      <c r="AL127">
        <v>0.94499999999999995</v>
      </c>
      <c r="AM127">
        <v>191.27</v>
      </c>
      <c r="AN127">
        <v>118.51</v>
      </c>
      <c r="AO127">
        <v>120.2</v>
      </c>
      <c r="AP127">
        <v>102.13</v>
      </c>
      <c r="AQ127">
        <v>101.09</v>
      </c>
    </row>
    <row r="128" spans="1:43" x14ac:dyDescent="0.25">
      <c r="A128" s="1">
        <v>41486</v>
      </c>
      <c r="B128">
        <v>3.5499999999999997E-2</v>
      </c>
      <c r="C128">
        <v>0.317</v>
      </c>
      <c r="D128">
        <v>-2.1999999999999999E-2</v>
      </c>
      <c r="E128">
        <v>8.5000000000000006E-2</v>
      </c>
      <c r="F128">
        <v>0.30890000000000001</v>
      </c>
      <c r="G128">
        <v>0.31340000000000001</v>
      </c>
      <c r="H128">
        <v>0.15</v>
      </c>
      <c r="I128">
        <v>0.112</v>
      </c>
      <c r="J128">
        <v>2.5762</v>
      </c>
      <c r="K128">
        <v>2.3565</v>
      </c>
      <c r="L128">
        <v>1.669</v>
      </c>
      <c r="M128">
        <v>0.79700000000000004</v>
      </c>
      <c r="N128">
        <v>13.45</v>
      </c>
      <c r="O128">
        <v>188.16800000000001</v>
      </c>
      <c r="P128">
        <v>81.451999999999998</v>
      </c>
      <c r="Q128">
        <v>96.663399999999996</v>
      </c>
      <c r="R128">
        <v>2.2765</v>
      </c>
      <c r="S128">
        <v>105.03</v>
      </c>
      <c r="T128">
        <v>107.7</v>
      </c>
      <c r="U128">
        <v>400.62</v>
      </c>
      <c r="V128">
        <v>838.35</v>
      </c>
      <c r="W128">
        <v>1507.91</v>
      </c>
      <c r="X128">
        <v>947.55</v>
      </c>
      <c r="Y128">
        <v>48234.49</v>
      </c>
      <c r="Z128" t="s">
        <v>103</v>
      </c>
      <c r="AA128" t="s">
        <v>103</v>
      </c>
      <c r="AB128" t="s">
        <v>103</v>
      </c>
      <c r="AC128">
        <v>10.551</v>
      </c>
      <c r="AD128">
        <v>10.0168</v>
      </c>
      <c r="AE128">
        <v>9.2645999999999997</v>
      </c>
      <c r="AF128">
        <v>8.2200000000000006</v>
      </c>
      <c r="AG128">
        <v>1.3302</v>
      </c>
      <c r="AH128">
        <v>97.88</v>
      </c>
      <c r="AI128">
        <v>1.5206999999999999</v>
      </c>
      <c r="AJ128">
        <v>1.0277000000000001</v>
      </c>
      <c r="AK128">
        <v>6.5157999999999996</v>
      </c>
      <c r="AL128">
        <v>0.92620000000000002</v>
      </c>
      <c r="AM128">
        <v>194.41</v>
      </c>
      <c r="AN128">
        <v>125.88</v>
      </c>
      <c r="AO128">
        <v>119.55</v>
      </c>
      <c r="AP128">
        <v>102.47</v>
      </c>
      <c r="AQ128">
        <v>106.15</v>
      </c>
    </row>
    <row r="129" spans="1:43" x14ac:dyDescent="0.25">
      <c r="A129" s="1">
        <v>41516</v>
      </c>
      <c r="B129">
        <v>2.0299999999999999E-2</v>
      </c>
      <c r="C129">
        <v>0.29699999999999999</v>
      </c>
      <c r="D129">
        <v>-1.2999999999999999E-2</v>
      </c>
      <c r="E129">
        <v>8.1000000000000003E-2</v>
      </c>
      <c r="F129">
        <v>0.3987</v>
      </c>
      <c r="G129">
        <v>0.4108</v>
      </c>
      <c r="H129">
        <v>0.23499999999999999</v>
      </c>
      <c r="I129">
        <v>0.10299999999999999</v>
      </c>
      <c r="J129">
        <v>2.7839</v>
      </c>
      <c r="K129">
        <v>2.7706</v>
      </c>
      <c r="L129">
        <v>1.855</v>
      </c>
      <c r="M129">
        <v>0.71499999999999997</v>
      </c>
      <c r="N129">
        <v>17.010000000000002</v>
      </c>
      <c r="O129">
        <v>206.85499999999999</v>
      </c>
      <c r="P129">
        <v>82.087000000000003</v>
      </c>
      <c r="Q129">
        <v>97.454999999999998</v>
      </c>
      <c r="R129">
        <v>2.3855</v>
      </c>
      <c r="S129">
        <v>107.65</v>
      </c>
      <c r="T129">
        <v>114.01</v>
      </c>
      <c r="U129">
        <v>409.99</v>
      </c>
      <c r="V129">
        <v>878.32</v>
      </c>
      <c r="W129">
        <v>1472.74</v>
      </c>
      <c r="X129">
        <v>929.54</v>
      </c>
      <c r="Y129">
        <v>50011.75</v>
      </c>
      <c r="Z129" t="s">
        <v>103</v>
      </c>
      <c r="AA129" t="s">
        <v>103</v>
      </c>
      <c r="AB129" t="s">
        <v>103</v>
      </c>
      <c r="AC129">
        <v>11.7621</v>
      </c>
      <c r="AD129">
        <v>11.1821</v>
      </c>
      <c r="AE129">
        <v>10.236700000000001</v>
      </c>
      <c r="AF129">
        <v>8.7200000000000006</v>
      </c>
      <c r="AG129">
        <v>1.3222</v>
      </c>
      <c r="AH129">
        <v>98.17</v>
      </c>
      <c r="AI129">
        <v>1.5504</v>
      </c>
      <c r="AJ129">
        <v>1.0537000000000001</v>
      </c>
      <c r="AK129">
        <v>6.6188000000000002</v>
      </c>
      <c r="AL129">
        <v>0.92979999999999996</v>
      </c>
      <c r="AM129">
        <v>202.37</v>
      </c>
      <c r="AN129">
        <v>130.57</v>
      </c>
      <c r="AO129">
        <v>119.86</v>
      </c>
      <c r="AP129">
        <v>102.78</v>
      </c>
      <c r="AQ129">
        <v>105.93</v>
      </c>
    </row>
    <row r="130" spans="1:43" x14ac:dyDescent="0.25">
      <c r="A130" s="1">
        <v>41547</v>
      </c>
      <c r="B130">
        <v>5.1000000000000004E-3</v>
      </c>
      <c r="C130">
        <v>0.32900000000000001</v>
      </c>
      <c r="D130">
        <v>-5.0000000000000001E-3</v>
      </c>
      <c r="E130">
        <v>2.8000000000000001E-2</v>
      </c>
      <c r="F130">
        <v>0.31680000000000003</v>
      </c>
      <c r="G130">
        <v>0.43730000000000002</v>
      </c>
      <c r="H130">
        <v>0.16600000000000001</v>
      </c>
      <c r="I130">
        <v>0.10299999999999999</v>
      </c>
      <c r="J130">
        <v>2.61</v>
      </c>
      <c r="K130">
        <v>2.7189999999999999</v>
      </c>
      <c r="L130">
        <v>1.778</v>
      </c>
      <c r="M130">
        <v>0.68100000000000005</v>
      </c>
      <c r="N130">
        <v>16.600000000000001</v>
      </c>
      <c r="O130">
        <v>176</v>
      </c>
      <c r="P130">
        <v>80.221000000000004</v>
      </c>
      <c r="Q130">
        <v>97.419700000000006</v>
      </c>
      <c r="R130">
        <v>2.2168999999999999</v>
      </c>
      <c r="S130">
        <v>102.33</v>
      </c>
      <c r="T130">
        <v>108.37</v>
      </c>
      <c r="U130">
        <v>401.98</v>
      </c>
      <c r="V130">
        <v>885.94</v>
      </c>
      <c r="W130">
        <v>1543.67</v>
      </c>
      <c r="X130">
        <v>987.46</v>
      </c>
      <c r="Y130">
        <v>52338.19</v>
      </c>
      <c r="Z130" t="s">
        <v>103</v>
      </c>
      <c r="AA130" t="s">
        <v>103</v>
      </c>
      <c r="AB130" t="s">
        <v>103</v>
      </c>
      <c r="AC130">
        <v>11.406599999999999</v>
      </c>
      <c r="AD130">
        <v>10.9274</v>
      </c>
      <c r="AE130">
        <v>10.0479</v>
      </c>
      <c r="AF130">
        <v>8.7100000000000009</v>
      </c>
      <c r="AG130">
        <v>1.3527</v>
      </c>
      <c r="AH130">
        <v>98.27</v>
      </c>
      <c r="AI130">
        <v>1.6186</v>
      </c>
      <c r="AJ130">
        <v>1.0308999999999999</v>
      </c>
      <c r="AK130">
        <v>6.4295</v>
      </c>
      <c r="AL130">
        <v>0.90490000000000004</v>
      </c>
      <c r="AM130">
        <v>200.97</v>
      </c>
      <c r="AN130">
        <v>125.03</v>
      </c>
      <c r="AO130">
        <v>120.43</v>
      </c>
      <c r="AP130">
        <v>103.21</v>
      </c>
      <c r="AQ130">
        <v>102.76</v>
      </c>
    </row>
    <row r="131" spans="1:43" x14ac:dyDescent="0.25">
      <c r="A131" s="1">
        <v>41578</v>
      </c>
      <c r="B131">
        <v>3.5499999999999997E-2</v>
      </c>
      <c r="C131">
        <v>0.307</v>
      </c>
      <c r="D131">
        <v>-8.0000000000000002E-3</v>
      </c>
      <c r="E131">
        <v>7.0000000000000007E-2</v>
      </c>
      <c r="F131">
        <v>0.30499999999999999</v>
      </c>
      <c r="G131">
        <v>0.41860000000000003</v>
      </c>
      <c r="H131">
        <v>0.113</v>
      </c>
      <c r="I131">
        <v>9.2999999999999999E-2</v>
      </c>
      <c r="J131">
        <v>2.5541999999999998</v>
      </c>
      <c r="K131">
        <v>2.6156000000000001</v>
      </c>
      <c r="L131">
        <v>1.673</v>
      </c>
      <c r="M131">
        <v>0.59</v>
      </c>
      <c r="N131">
        <v>13.75</v>
      </c>
      <c r="O131">
        <v>167.15</v>
      </c>
      <c r="P131">
        <v>80.194999999999993</v>
      </c>
      <c r="Q131">
        <v>96.579099999999997</v>
      </c>
      <c r="R131">
        <v>2.2399</v>
      </c>
      <c r="S131">
        <v>96.38</v>
      </c>
      <c r="T131">
        <v>108.84</v>
      </c>
      <c r="U131">
        <v>383.94</v>
      </c>
      <c r="V131">
        <v>890.02</v>
      </c>
      <c r="W131">
        <v>1602.86</v>
      </c>
      <c r="X131">
        <v>1034.42</v>
      </c>
      <c r="Y131">
        <v>54256.2</v>
      </c>
      <c r="Z131" t="s">
        <v>103</v>
      </c>
      <c r="AA131" t="s">
        <v>103</v>
      </c>
      <c r="AB131" t="s">
        <v>103</v>
      </c>
      <c r="AC131">
        <v>11.5329</v>
      </c>
      <c r="AD131">
        <v>11.145200000000001</v>
      </c>
      <c r="AE131">
        <v>10.5174</v>
      </c>
      <c r="AF131">
        <v>9.32</v>
      </c>
      <c r="AG131">
        <v>1.3584000000000001</v>
      </c>
      <c r="AH131">
        <v>98.36</v>
      </c>
      <c r="AI131">
        <v>1.6040000000000001</v>
      </c>
      <c r="AJ131">
        <v>1.0430999999999999</v>
      </c>
      <c r="AK131">
        <v>6.4824000000000002</v>
      </c>
      <c r="AL131">
        <v>0.90690000000000004</v>
      </c>
      <c r="AM131">
        <v>212.57</v>
      </c>
      <c r="AN131">
        <v>131.19</v>
      </c>
      <c r="AO131">
        <v>119.11</v>
      </c>
      <c r="AP131">
        <v>103.22</v>
      </c>
      <c r="AQ131">
        <v>105.99</v>
      </c>
    </row>
    <row r="132" spans="1:43" x14ac:dyDescent="0.25">
      <c r="A132" s="1">
        <v>41607</v>
      </c>
      <c r="B132">
        <v>5.5800000000000002E-2</v>
      </c>
      <c r="C132">
        <v>0.28299999999999997</v>
      </c>
      <c r="D132">
        <v>2.5000000000000001E-2</v>
      </c>
      <c r="E132">
        <v>4.4999999999999998E-2</v>
      </c>
      <c r="F132">
        <v>0.28139999999999998</v>
      </c>
      <c r="G132">
        <v>0.45369999999999999</v>
      </c>
      <c r="H132">
        <v>0.114</v>
      </c>
      <c r="I132">
        <v>8.4000000000000005E-2</v>
      </c>
      <c r="J132">
        <v>2.7444999999999999</v>
      </c>
      <c r="K132">
        <v>2.7677999999999998</v>
      </c>
      <c r="L132">
        <v>1.6919999999999999</v>
      </c>
      <c r="M132">
        <v>0.6</v>
      </c>
      <c r="N132">
        <v>13.7</v>
      </c>
      <c r="O132">
        <v>205</v>
      </c>
      <c r="P132">
        <v>80.680000000000007</v>
      </c>
      <c r="Q132">
        <v>97.188699999999997</v>
      </c>
      <c r="R132">
        <v>2.3361000000000001</v>
      </c>
      <c r="S132">
        <v>92.72</v>
      </c>
      <c r="T132">
        <v>109.69</v>
      </c>
      <c r="U132">
        <v>386.49</v>
      </c>
      <c r="V132">
        <v>894.21</v>
      </c>
      <c r="W132">
        <v>1628.42</v>
      </c>
      <c r="X132">
        <v>1018.28</v>
      </c>
      <c r="Y132">
        <v>52482.49</v>
      </c>
      <c r="Z132" t="s">
        <v>103</v>
      </c>
      <c r="AA132" t="s">
        <v>103</v>
      </c>
      <c r="AB132" t="s">
        <v>103</v>
      </c>
      <c r="AC132">
        <v>12.2666</v>
      </c>
      <c r="AD132">
        <v>11.7255</v>
      </c>
      <c r="AE132">
        <v>10.6126</v>
      </c>
      <c r="AF132">
        <v>9.77</v>
      </c>
      <c r="AG132">
        <v>1.3591</v>
      </c>
      <c r="AH132">
        <v>102.44</v>
      </c>
      <c r="AI132">
        <v>1.6368</v>
      </c>
      <c r="AJ132">
        <v>1.0613999999999999</v>
      </c>
      <c r="AK132">
        <v>6.5479000000000003</v>
      </c>
      <c r="AL132">
        <v>0.90620000000000001</v>
      </c>
      <c r="AM132">
        <v>192.05</v>
      </c>
      <c r="AN132">
        <v>123.69</v>
      </c>
      <c r="AO132">
        <v>119.75</v>
      </c>
      <c r="AP132">
        <v>103.53</v>
      </c>
      <c r="AQ132">
        <v>103.12</v>
      </c>
    </row>
    <row r="133" spans="1:43" x14ac:dyDescent="0.25">
      <c r="A133" s="1">
        <v>41639</v>
      </c>
      <c r="B133">
        <v>6.59E-2</v>
      </c>
      <c r="C133">
        <v>0.28499999999999998</v>
      </c>
      <c r="D133">
        <v>8.5000000000000006E-2</v>
      </c>
      <c r="E133">
        <v>0.05</v>
      </c>
      <c r="F133">
        <v>0.37990000000000002</v>
      </c>
      <c r="G133">
        <v>0.55989999999999995</v>
      </c>
      <c r="H133">
        <v>0.20699999999999999</v>
      </c>
      <c r="I133">
        <v>8.8999999999999996E-2</v>
      </c>
      <c r="J133">
        <v>3.0282</v>
      </c>
      <c r="K133">
        <v>3.0207999999999999</v>
      </c>
      <c r="L133">
        <v>1.925</v>
      </c>
      <c r="M133">
        <v>0.73599999999999999</v>
      </c>
      <c r="N133">
        <v>13.72</v>
      </c>
      <c r="O133">
        <v>193.77099999999999</v>
      </c>
      <c r="P133">
        <v>80.034999999999997</v>
      </c>
      <c r="Q133">
        <v>97.328400000000002</v>
      </c>
      <c r="R133">
        <v>2.3592</v>
      </c>
      <c r="S133">
        <v>98.42</v>
      </c>
      <c r="T133">
        <v>110.8</v>
      </c>
      <c r="U133">
        <v>364.65</v>
      </c>
      <c r="V133">
        <v>936.83</v>
      </c>
      <c r="W133">
        <v>1661.07</v>
      </c>
      <c r="X133">
        <v>1002.69</v>
      </c>
      <c r="Y133">
        <v>51507.16</v>
      </c>
      <c r="Z133" t="s">
        <v>103</v>
      </c>
      <c r="AA133" t="s">
        <v>103</v>
      </c>
      <c r="AB133" t="s">
        <v>103</v>
      </c>
      <c r="AC133">
        <v>12.2903</v>
      </c>
      <c r="AD133">
        <v>11.6372</v>
      </c>
      <c r="AE133">
        <v>10.5755</v>
      </c>
      <c r="AF133">
        <v>9.77</v>
      </c>
      <c r="AG133">
        <v>1.3743000000000001</v>
      </c>
      <c r="AH133">
        <v>105.31</v>
      </c>
      <c r="AI133">
        <v>1.6556999999999999</v>
      </c>
      <c r="AJ133">
        <v>1.0623</v>
      </c>
      <c r="AK133">
        <v>6.4379999999999997</v>
      </c>
      <c r="AL133">
        <v>0.89290000000000003</v>
      </c>
      <c r="AM133">
        <v>154.57</v>
      </c>
      <c r="AN133">
        <v>104.98</v>
      </c>
      <c r="AO133">
        <v>115.54</v>
      </c>
      <c r="AP133">
        <v>103.77</v>
      </c>
      <c r="AQ133">
        <v>101.71</v>
      </c>
    </row>
    <row r="134" spans="1:43" x14ac:dyDescent="0.25">
      <c r="A134" s="1">
        <v>41670</v>
      </c>
      <c r="B134">
        <v>2.0299999999999999E-2</v>
      </c>
      <c r="C134">
        <v>0.33300000000000002</v>
      </c>
      <c r="D134">
        <v>3.5000000000000003E-2</v>
      </c>
      <c r="E134">
        <v>4.3999999999999997E-2</v>
      </c>
      <c r="F134">
        <v>0.32769999999999999</v>
      </c>
      <c r="G134">
        <v>0.48949999999999999</v>
      </c>
      <c r="H134">
        <v>6.6000000000000003E-2</v>
      </c>
      <c r="I134">
        <v>8.3000000000000004E-2</v>
      </c>
      <c r="J134">
        <v>2.6440000000000001</v>
      </c>
      <c r="K134">
        <v>2.7054</v>
      </c>
      <c r="L134">
        <v>1.6579999999999999</v>
      </c>
      <c r="M134">
        <v>0.61699999999999999</v>
      </c>
      <c r="N134">
        <v>18.41</v>
      </c>
      <c r="O134">
        <v>205.68100000000001</v>
      </c>
      <c r="P134">
        <v>81.311000000000007</v>
      </c>
      <c r="Q134">
        <v>98.131500000000003</v>
      </c>
      <c r="R134">
        <v>2.4127999999999998</v>
      </c>
      <c r="S134">
        <v>97.49</v>
      </c>
      <c r="T134">
        <v>106.4</v>
      </c>
      <c r="U134">
        <v>376.7</v>
      </c>
      <c r="V134">
        <v>914.47</v>
      </c>
      <c r="W134">
        <v>1598.46</v>
      </c>
      <c r="X134">
        <v>936.53</v>
      </c>
      <c r="Y134">
        <v>47638.99</v>
      </c>
      <c r="Z134" t="s">
        <v>103</v>
      </c>
      <c r="AA134" t="s">
        <v>103</v>
      </c>
      <c r="AB134" t="s">
        <v>103</v>
      </c>
      <c r="AC134">
        <v>12.8832</v>
      </c>
      <c r="AD134">
        <v>12.555099999999999</v>
      </c>
      <c r="AE134">
        <v>11.7098</v>
      </c>
      <c r="AF134">
        <v>10.27</v>
      </c>
      <c r="AG134">
        <v>1.3486</v>
      </c>
      <c r="AH134">
        <v>102.04</v>
      </c>
      <c r="AI134">
        <v>1.6438999999999999</v>
      </c>
      <c r="AJ134">
        <v>1.1128</v>
      </c>
      <c r="AK134">
        <v>6.5507</v>
      </c>
      <c r="AL134">
        <v>0.90649999999999997</v>
      </c>
      <c r="AM134">
        <v>168.46</v>
      </c>
      <c r="AN134">
        <v>107.91</v>
      </c>
      <c r="AO134">
        <v>117.56</v>
      </c>
      <c r="AP134">
        <v>103.43</v>
      </c>
      <c r="AQ134">
        <v>99.58</v>
      </c>
    </row>
    <row r="135" spans="1:43" x14ac:dyDescent="0.25">
      <c r="A135" s="1">
        <v>41698</v>
      </c>
      <c r="B135">
        <v>4.5600000000000002E-2</v>
      </c>
      <c r="C135">
        <v>0.34399999999999997</v>
      </c>
      <c r="D135">
        <v>6.6000000000000003E-2</v>
      </c>
      <c r="E135">
        <v>0.04</v>
      </c>
      <c r="F135">
        <v>0.31690000000000002</v>
      </c>
      <c r="G135">
        <v>0.48880000000000001</v>
      </c>
      <c r="H135">
        <v>0.127</v>
      </c>
      <c r="I135">
        <v>6.9000000000000006E-2</v>
      </c>
      <c r="J135">
        <v>2.6476000000000002</v>
      </c>
      <c r="K135">
        <v>2.7181000000000002</v>
      </c>
      <c r="L135">
        <v>1.623</v>
      </c>
      <c r="M135">
        <v>0.58099999999999996</v>
      </c>
      <c r="N135">
        <v>14</v>
      </c>
      <c r="O135">
        <v>171.33500000000001</v>
      </c>
      <c r="P135">
        <v>79.691000000000003</v>
      </c>
      <c r="Q135">
        <v>98.661000000000001</v>
      </c>
      <c r="R135">
        <v>2.3435000000000001</v>
      </c>
      <c r="S135">
        <v>102.59</v>
      </c>
      <c r="T135">
        <v>109.07</v>
      </c>
      <c r="U135">
        <v>409.29</v>
      </c>
      <c r="V135">
        <v>924.61</v>
      </c>
      <c r="W135">
        <v>1675.4</v>
      </c>
      <c r="X135">
        <v>966.42</v>
      </c>
      <c r="Y135">
        <v>47094.400000000001</v>
      </c>
      <c r="Z135">
        <v>12.638299999999999</v>
      </c>
      <c r="AA135">
        <v>12.5611</v>
      </c>
      <c r="AB135">
        <v>12.9224</v>
      </c>
      <c r="AC135">
        <v>12.291499999999999</v>
      </c>
      <c r="AD135">
        <v>12.004099999999999</v>
      </c>
      <c r="AE135">
        <v>11.24</v>
      </c>
      <c r="AF135">
        <v>10.59</v>
      </c>
      <c r="AG135">
        <v>1.3802000000000001</v>
      </c>
      <c r="AH135">
        <v>101.8</v>
      </c>
      <c r="AI135">
        <v>1.6745000000000001</v>
      </c>
      <c r="AJ135">
        <v>1.1064000000000001</v>
      </c>
      <c r="AK135">
        <v>6.4088000000000003</v>
      </c>
      <c r="AL135">
        <v>0.88029999999999997</v>
      </c>
      <c r="AM135">
        <v>186.63</v>
      </c>
      <c r="AN135">
        <v>107.55</v>
      </c>
      <c r="AO135">
        <v>118.03</v>
      </c>
      <c r="AP135">
        <v>103.23</v>
      </c>
      <c r="AQ135">
        <v>100.15</v>
      </c>
    </row>
    <row r="136" spans="1:43" x14ac:dyDescent="0.25">
      <c r="A136" s="1">
        <v>41729</v>
      </c>
      <c r="B136">
        <v>3.04E-2</v>
      </c>
      <c r="C136">
        <v>0.36499999999999999</v>
      </c>
      <c r="D136">
        <v>4.7E-2</v>
      </c>
      <c r="E136">
        <v>2.5999999999999999E-2</v>
      </c>
      <c r="F136">
        <v>0.41830000000000001</v>
      </c>
      <c r="G136">
        <v>0.70709999999999995</v>
      </c>
      <c r="H136">
        <v>0.158</v>
      </c>
      <c r="I136">
        <v>8.5999999999999993E-2</v>
      </c>
      <c r="J136">
        <v>2.718</v>
      </c>
      <c r="K136">
        <v>2.7347999999999999</v>
      </c>
      <c r="L136">
        <v>1.5649999999999999</v>
      </c>
      <c r="M136">
        <v>0.63700000000000001</v>
      </c>
      <c r="N136">
        <v>13.88</v>
      </c>
      <c r="O136">
        <v>169.66</v>
      </c>
      <c r="P136">
        <v>80.099999999999994</v>
      </c>
      <c r="Q136">
        <v>98.639600000000002</v>
      </c>
      <c r="R136">
        <v>2.2719999999999998</v>
      </c>
      <c r="S136">
        <v>101.58</v>
      </c>
      <c r="T136">
        <v>107.76</v>
      </c>
      <c r="U136">
        <v>434.2</v>
      </c>
      <c r="V136">
        <v>894.65</v>
      </c>
      <c r="W136">
        <v>1673.87</v>
      </c>
      <c r="X136">
        <v>994.65</v>
      </c>
      <c r="Y136">
        <v>50414.92</v>
      </c>
      <c r="Z136">
        <v>12.7453</v>
      </c>
      <c r="AA136">
        <v>12.735200000000001</v>
      </c>
      <c r="AB136">
        <v>13.021699999999999</v>
      </c>
      <c r="AC136">
        <v>12.4994</v>
      </c>
      <c r="AD136">
        <v>12.23</v>
      </c>
      <c r="AE136">
        <v>11.392899999999999</v>
      </c>
      <c r="AF136">
        <v>10.55</v>
      </c>
      <c r="AG136">
        <v>1.3769</v>
      </c>
      <c r="AH136">
        <v>103.23</v>
      </c>
      <c r="AI136">
        <v>1.6661999999999999</v>
      </c>
      <c r="AJ136">
        <v>1.105</v>
      </c>
      <c r="AK136">
        <v>6.4726999999999997</v>
      </c>
      <c r="AL136">
        <v>0.88460000000000005</v>
      </c>
      <c r="AM136">
        <v>186.63</v>
      </c>
      <c r="AN136">
        <v>113.37</v>
      </c>
      <c r="AO136">
        <v>117.53</v>
      </c>
      <c r="AP136">
        <v>103.06</v>
      </c>
      <c r="AQ136">
        <v>103.99</v>
      </c>
    </row>
    <row r="137" spans="1:43" x14ac:dyDescent="0.25">
      <c r="A137" s="1">
        <v>41759</v>
      </c>
      <c r="B137">
        <v>2.53E-2</v>
      </c>
      <c r="C137">
        <v>0.33600000000000002</v>
      </c>
      <c r="D137">
        <v>-4.2999999999999997E-2</v>
      </c>
      <c r="E137">
        <v>4.4999999999999998E-2</v>
      </c>
      <c r="F137">
        <v>0.41039999999999999</v>
      </c>
      <c r="G137">
        <v>0.68369999999999997</v>
      </c>
      <c r="H137">
        <v>0.14000000000000001</v>
      </c>
      <c r="I137">
        <v>8.6999999999999994E-2</v>
      </c>
      <c r="J137">
        <v>2.6459000000000001</v>
      </c>
      <c r="K137">
        <v>2.6619999999999999</v>
      </c>
      <c r="L137">
        <v>1.468</v>
      </c>
      <c r="M137">
        <v>0.622</v>
      </c>
      <c r="N137">
        <v>13.41</v>
      </c>
      <c r="O137">
        <v>146.67500000000001</v>
      </c>
      <c r="P137">
        <v>79.474000000000004</v>
      </c>
      <c r="Q137">
        <v>98.103999999999999</v>
      </c>
      <c r="R137">
        <v>2.2326999999999999</v>
      </c>
      <c r="S137">
        <v>99.74</v>
      </c>
      <c r="T137">
        <v>108.07</v>
      </c>
      <c r="U137">
        <v>445.88</v>
      </c>
      <c r="V137">
        <v>906.7</v>
      </c>
      <c r="W137">
        <v>1687.74</v>
      </c>
      <c r="X137">
        <v>995.28</v>
      </c>
      <c r="Y137">
        <v>51626.69</v>
      </c>
      <c r="Z137">
        <v>12.4781</v>
      </c>
      <c r="AA137">
        <v>12.529199999999999</v>
      </c>
      <c r="AB137">
        <v>12.828799999999999</v>
      </c>
      <c r="AC137">
        <v>12.3299</v>
      </c>
      <c r="AD137">
        <v>12.110900000000001</v>
      </c>
      <c r="AE137">
        <v>11.332800000000001</v>
      </c>
      <c r="AF137">
        <v>10.8</v>
      </c>
      <c r="AG137">
        <v>1.3867</v>
      </c>
      <c r="AH137">
        <v>102.24</v>
      </c>
      <c r="AI137">
        <v>1.6873</v>
      </c>
      <c r="AJ137">
        <v>1.0962000000000001</v>
      </c>
      <c r="AK137">
        <v>6.5023</v>
      </c>
      <c r="AL137">
        <v>0.88039999999999996</v>
      </c>
      <c r="AM137">
        <v>186.63</v>
      </c>
      <c r="AN137">
        <v>111.9</v>
      </c>
      <c r="AO137">
        <v>116.62</v>
      </c>
      <c r="AP137">
        <v>102.65</v>
      </c>
      <c r="AQ137">
        <v>103.05</v>
      </c>
    </row>
    <row r="138" spans="1:43" x14ac:dyDescent="0.25">
      <c r="A138" s="1">
        <v>41789</v>
      </c>
      <c r="B138">
        <v>3.04E-2</v>
      </c>
      <c r="C138">
        <v>0.32600000000000001</v>
      </c>
      <c r="D138">
        <v>-4.0000000000000001E-3</v>
      </c>
      <c r="E138">
        <v>3.5000000000000003E-2</v>
      </c>
      <c r="F138">
        <v>0.373</v>
      </c>
      <c r="G138">
        <v>0.66259999999999997</v>
      </c>
      <c r="H138">
        <v>6.0999999999999999E-2</v>
      </c>
      <c r="I138">
        <v>8.5000000000000006E-2</v>
      </c>
      <c r="J138">
        <v>2.4759000000000002</v>
      </c>
      <c r="K138">
        <v>2.5693999999999999</v>
      </c>
      <c r="L138">
        <v>1.357</v>
      </c>
      <c r="M138">
        <v>0.57299999999999995</v>
      </c>
      <c r="N138">
        <v>11.4</v>
      </c>
      <c r="O138">
        <v>142.32499999999999</v>
      </c>
      <c r="P138">
        <v>80.369</v>
      </c>
      <c r="Q138">
        <v>97.616200000000006</v>
      </c>
      <c r="R138">
        <v>2.2412999999999998</v>
      </c>
      <c r="S138">
        <v>102.71</v>
      </c>
      <c r="T138">
        <v>109.41</v>
      </c>
      <c r="U138">
        <v>441.38</v>
      </c>
      <c r="V138">
        <v>906.39</v>
      </c>
      <c r="W138">
        <v>1715.18</v>
      </c>
      <c r="X138">
        <v>1027.69</v>
      </c>
      <c r="Y138">
        <v>51239.34</v>
      </c>
      <c r="Z138">
        <v>11.9399</v>
      </c>
      <c r="AA138">
        <v>11.954599999999999</v>
      </c>
      <c r="AB138">
        <v>12.264900000000001</v>
      </c>
      <c r="AC138">
        <v>11.6967</v>
      </c>
      <c r="AD138">
        <v>11.5207</v>
      </c>
      <c r="AE138">
        <v>11.094799999999999</v>
      </c>
      <c r="AF138">
        <v>10.8</v>
      </c>
      <c r="AG138">
        <v>1.3634999999999999</v>
      </c>
      <c r="AH138">
        <v>101.77</v>
      </c>
      <c r="AI138">
        <v>1.6755</v>
      </c>
      <c r="AJ138">
        <v>1.0846</v>
      </c>
      <c r="AK138">
        <v>6.6885000000000003</v>
      </c>
      <c r="AL138">
        <v>0.8952</v>
      </c>
      <c r="AM138">
        <v>186.63</v>
      </c>
      <c r="AN138">
        <v>118.53</v>
      </c>
      <c r="AO138">
        <v>115.46</v>
      </c>
      <c r="AP138">
        <v>102.26</v>
      </c>
      <c r="AQ138">
        <v>102.67</v>
      </c>
    </row>
    <row r="139" spans="1:43" x14ac:dyDescent="0.25">
      <c r="A139" s="1">
        <v>41820</v>
      </c>
      <c r="B139">
        <v>2.0299999999999999E-2</v>
      </c>
      <c r="C139">
        <v>0.379</v>
      </c>
      <c r="D139">
        <v>-3.1E-2</v>
      </c>
      <c r="E139">
        <v>2.5000000000000001E-2</v>
      </c>
      <c r="F139">
        <v>0.45669999999999999</v>
      </c>
      <c r="G139">
        <v>0.86339999999999995</v>
      </c>
      <c r="H139">
        <v>2.5000000000000001E-2</v>
      </c>
      <c r="I139">
        <v>6.8000000000000005E-2</v>
      </c>
      <c r="J139">
        <v>2.5304000000000002</v>
      </c>
      <c r="K139">
        <v>2.669</v>
      </c>
      <c r="L139">
        <v>1.244</v>
      </c>
      <c r="M139">
        <v>0.56100000000000005</v>
      </c>
      <c r="N139">
        <v>11.57</v>
      </c>
      <c r="O139">
        <v>144.15</v>
      </c>
      <c r="P139">
        <v>79.775000000000006</v>
      </c>
      <c r="Q139">
        <v>97.707899999999995</v>
      </c>
      <c r="R139">
        <v>2.2145000000000001</v>
      </c>
      <c r="S139">
        <v>105.37</v>
      </c>
      <c r="T139">
        <v>112.36</v>
      </c>
      <c r="U139">
        <v>451.63</v>
      </c>
      <c r="V139">
        <v>897.6</v>
      </c>
      <c r="W139">
        <v>1743.42</v>
      </c>
      <c r="X139">
        <v>1050.78</v>
      </c>
      <c r="Y139">
        <v>53168.22</v>
      </c>
      <c r="Z139">
        <v>12.0213</v>
      </c>
      <c r="AA139">
        <v>11.9078</v>
      </c>
      <c r="AB139">
        <v>12.2318</v>
      </c>
      <c r="AC139">
        <v>11.6791</v>
      </c>
      <c r="AD139">
        <v>11.4072</v>
      </c>
      <c r="AE139">
        <v>10.907500000000001</v>
      </c>
      <c r="AF139">
        <v>10.8</v>
      </c>
      <c r="AG139">
        <v>1.3692</v>
      </c>
      <c r="AH139">
        <v>101.33</v>
      </c>
      <c r="AI139">
        <v>1.7105999999999999</v>
      </c>
      <c r="AJ139">
        <v>1.0670999999999999</v>
      </c>
      <c r="AK139">
        <v>6.6833999999999998</v>
      </c>
      <c r="AL139">
        <v>0.88680000000000003</v>
      </c>
      <c r="AM139">
        <v>186.63</v>
      </c>
      <c r="AN139">
        <v>110.61</v>
      </c>
      <c r="AO139">
        <v>112.16</v>
      </c>
      <c r="AP139">
        <v>100.12</v>
      </c>
      <c r="AQ139">
        <v>98.3</v>
      </c>
    </row>
    <row r="140" spans="1:43" x14ac:dyDescent="0.25">
      <c r="A140" s="1">
        <v>41851</v>
      </c>
      <c r="B140">
        <v>2.0299999999999999E-2</v>
      </c>
      <c r="C140">
        <v>0.39400000000000002</v>
      </c>
      <c r="D140">
        <v>-1.4999999999999999E-2</v>
      </c>
      <c r="E140">
        <v>2.5999999999999999E-2</v>
      </c>
      <c r="F140">
        <v>0.52759999999999996</v>
      </c>
      <c r="G140">
        <v>0.83450000000000002</v>
      </c>
      <c r="H140">
        <v>2.1999999999999999E-2</v>
      </c>
      <c r="I140">
        <v>6.2E-2</v>
      </c>
      <c r="J140">
        <v>2.5577999999999999</v>
      </c>
      <c r="K140">
        <v>2.6008</v>
      </c>
      <c r="L140">
        <v>1.1539999999999999</v>
      </c>
      <c r="M140">
        <v>0.53300000000000003</v>
      </c>
      <c r="N140">
        <v>16.95</v>
      </c>
      <c r="O140">
        <v>155.97999999999999</v>
      </c>
      <c r="P140">
        <v>81.456000000000003</v>
      </c>
      <c r="Q140">
        <v>97.442999999999998</v>
      </c>
      <c r="R140">
        <v>2.2637999999999998</v>
      </c>
      <c r="S140">
        <v>98.17</v>
      </c>
      <c r="T140">
        <v>106.02</v>
      </c>
      <c r="U140">
        <v>432.06</v>
      </c>
      <c r="V140">
        <v>933.7</v>
      </c>
      <c r="W140">
        <v>1714.35</v>
      </c>
      <c r="X140">
        <v>1065.77</v>
      </c>
      <c r="Y140">
        <v>55829.41</v>
      </c>
      <c r="Z140">
        <v>11.8043</v>
      </c>
      <c r="AA140">
        <v>11.7887</v>
      </c>
      <c r="AB140">
        <v>11.988</v>
      </c>
      <c r="AC140">
        <v>11.6145</v>
      </c>
      <c r="AD140">
        <v>11.375</v>
      </c>
      <c r="AE140">
        <v>10.965400000000001</v>
      </c>
      <c r="AF140">
        <v>10.8</v>
      </c>
      <c r="AG140">
        <v>1.339</v>
      </c>
      <c r="AH140">
        <v>102.8</v>
      </c>
      <c r="AI140">
        <v>1.6886000000000001</v>
      </c>
      <c r="AJ140">
        <v>1.0906</v>
      </c>
      <c r="AK140">
        <v>6.8975999999999997</v>
      </c>
      <c r="AL140">
        <v>0.90880000000000005</v>
      </c>
      <c r="AM140">
        <v>186.63</v>
      </c>
      <c r="AN140">
        <v>121.7</v>
      </c>
      <c r="AO140">
        <v>114.97</v>
      </c>
      <c r="AP140">
        <v>100.86</v>
      </c>
      <c r="AQ140">
        <v>104.56</v>
      </c>
    </row>
    <row r="141" spans="1:43" x14ac:dyDescent="0.25">
      <c r="A141" s="1">
        <v>41880</v>
      </c>
      <c r="B141">
        <v>2.0299999999999999E-2</v>
      </c>
      <c r="C141">
        <v>0.41099999999999998</v>
      </c>
      <c r="D141">
        <v>-5.2999999999999999E-2</v>
      </c>
      <c r="E141">
        <v>3.1E-2</v>
      </c>
      <c r="F141">
        <v>0.48820000000000002</v>
      </c>
      <c r="G141">
        <v>0.83389999999999997</v>
      </c>
      <c r="H141">
        <v>-3.3000000000000002E-2</v>
      </c>
      <c r="I141">
        <v>7.0000000000000007E-2</v>
      </c>
      <c r="J141">
        <v>2.3431000000000002</v>
      </c>
      <c r="K141">
        <v>2.3673000000000002</v>
      </c>
      <c r="L141">
        <v>0.89</v>
      </c>
      <c r="M141">
        <v>0.49099999999999999</v>
      </c>
      <c r="N141">
        <v>11.98</v>
      </c>
      <c r="O141">
        <v>127</v>
      </c>
      <c r="P141">
        <v>82.748000000000005</v>
      </c>
      <c r="Q141">
        <v>97.904200000000003</v>
      </c>
      <c r="R141">
        <v>2.2362000000000002</v>
      </c>
      <c r="S141">
        <v>95.96</v>
      </c>
      <c r="T141">
        <v>103.19</v>
      </c>
      <c r="U141">
        <v>423.9</v>
      </c>
      <c r="V141">
        <v>922.1</v>
      </c>
      <c r="W141">
        <v>1748.69</v>
      </c>
      <c r="X141">
        <v>1087.8800000000001</v>
      </c>
      <c r="Y141">
        <v>61288.15</v>
      </c>
      <c r="Z141">
        <v>11.077500000000001</v>
      </c>
      <c r="AA141">
        <v>11.192500000000001</v>
      </c>
      <c r="AB141">
        <v>11.1579</v>
      </c>
      <c r="AC141">
        <v>11.245200000000001</v>
      </c>
      <c r="AD141">
        <v>11.24</v>
      </c>
      <c r="AE141">
        <v>11.0945</v>
      </c>
      <c r="AF141">
        <v>10.81</v>
      </c>
      <c r="AG141">
        <v>1.3131999999999999</v>
      </c>
      <c r="AH141">
        <v>104.09</v>
      </c>
      <c r="AI141">
        <v>1.6597999999999999</v>
      </c>
      <c r="AJ141">
        <v>1.0878000000000001</v>
      </c>
      <c r="AK141">
        <v>6.9917999999999996</v>
      </c>
      <c r="AL141">
        <v>0.91820000000000002</v>
      </c>
      <c r="AM141">
        <v>186.63</v>
      </c>
      <c r="AN141">
        <v>123.92</v>
      </c>
      <c r="AO141">
        <v>115.39</v>
      </c>
      <c r="AP141">
        <v>101.72</v>
      </c>
      <c r="AQ141">
        <v>103.46</v>
      </c>
    </row>
    <row r="142" spans="1:43" x14ac:dyDescent="0.25">
      <c r="A142" s="1">
        <v>41912</v>
      </c>
      <c r="B142">
        <v>1.52E-2</v>
      </c>
      <c r="C142">
        <v>0.41599999999999998</v>
      </c>
      <c r="D142">
        <v>-9.0999999999999998E-2</v>
      </c>
      <c r="E142">
        <v>-4.0000000000000001E-3</v>
      </c>
      <c r="F142">
        <v>0.56699999999999995</v>
      </c>
      <c r="G142">
        <v>0.82389999999999997</v>
      </c>
      <c r="H142">
        <v>-8.3000000000000004E-2</v>
      </c>
      <c r="I142">
        <v>7.1999999999999995E-2</v>
      </c>
      <c r="J142">
        <v>2.4887999999999999</v>
      </c>
      <c r="K142">
        <v>2.4245000000000001</v>
      </c>
      <c r="L142">
        <v>0.94599999999999995</v>
      </c>
      <c r="M142">
        <v>0.52600000000000002</v>
      </c>
      <c r="N142">
        <v>16.309999999999999</v>
      </c>
      <c r="O142">
        <v>175.625</v>
      </c>
      <c r="P142">
        <v>85.936000000000007</v>
      </c>
      <c r="Q142">
        <v>98.5989</v>
      </c>
      <c r="R142">
        <v>2.4460999999999999</v>
      </c>
      <c r="S142">
        <v>91.16</v>
      </c>
      <c r="T142">
        <v>94.67</v>
      </c>
      <c r="U142">
        <v>423.17</v>
      </c>
      <c r="V142">
        <v>885.08</v>
      </c>
      <c r="W142">
        <v>1698.41</v>
      </c>
      <c r="X142">
        <v>1005.33</v>
      </c>
      <c r="Y142">
        <v>54115.98</v>
      </c>
      <c r="Z142">
        <v>12.244999999999999</v>
      </c>
      <c r="AA142">
        <v>12.2934</v>
      </c>
      <c r="AB142">
        <v>12.319100000000001</v>
      </c>
      <c r="AC142">
        <v>12.3002</v>
      </c>
      <c r="AD142">
        <v>12.2493</v>
      </c>
      <c r="AE142">
        <v>11.787100000000001</v>
      </c>
      <c r="AF142">
        <v>10.81</v>
      </c>
      <c r="AG142">
        <v>1.2630999999999999</v>
      </c>
      <c r="AH142">
        <v>109.65</v>
      </c>
      <c r="AI142">
        <v>1.6213</v>
      </c>
      <c r="AJ142">
        <v>1.1197999999999999</v>
      </c>
      <c r="AK142">
        <v>7.2137000000000002</v>
      </c>
      <c r="AL142">
        <v>0.95509999999999995</v>
      </c>
      <c r="AM142">
        <v>186.63</v>
      </c>
      <c r="AN142">
        <v>123.07</v>
      </c>
      <c r="AO142">
        <v>115.62</v>
      </c>
      <c r="AP142">
        <v>102.17</v>
      </c>
      <c r="AQ142">
        <v>103.35</v>
      </c>
    </row>
    <row r="143" spans="1:43" x14ac:dyDescent="0.25">
      <c r="A143" s="1">
        <v>41943</v>
      </c>
      <c r="B143">
        <v>5.1000000000000004E-3</v>
      </c>
      <c r="C143">
        <v>0.40200000000000002</v>
      </c>
      <c r="D143">
        <v>-0.13800000000000001</v>
      </c>
      <c r="E143">
        <v>-3.7999999999999999E-2</v>
      </c>
      <c r="F143">
        <v>0.4914</v>
      </c>
      <c r="G143">
        <v>0.65139999999999998</v>
      </c>
      <c r="H143">
        <v>-5.8000000000000003E-2</v>
      </c>
      <c r="I143">
        <v>2.8000000000000001E-2</v>
      </c>
      <c r="J143">
        <v>2.3353000000000002</v>
      </c>
      <c r="K143">
        <v>2.2462</v>
      </c>
      <c r="L143">
        <v>0.84</v>
      </c>
      <c r="M143">
        <v>0.45300000000000001</v>
      </c>
      <c r="N143">
        <v>14.03</v>
      </c>
      <c r="O143">
        <v>151.75</v>
      </c>
      <c r="P143">
        <v>86.917000000000002</v>
      </c>
      <c r="Q143">
        <v>99.758600000000001</v>
      </c>
      <c r="R143">
        <v>2.4779</v>
      </c>
      <c r="S143">
        <v>80.540000000000006</v>
      </c>
      <c r="T143">
        <v>85.86</v>
      </c>
      <c r="U143">
        <v>397.9</v>
      </c>
      <c r="V143">
        <v>874.9</v>
      </c>
      <c r="W143">
        <v>1708.09</v>
      </c>
      <c r="X143">
        <v>1016.07</v>
      </c>
      <c r="Y143">
        <v>54628.6</v>
      </c>
      <c r="Z143">
        <v>12.0205</v>
      </c>
      <c r="AA143">
        <v>12.0749</v>
      </c>
      <c r="AB143">
        <v>11.9421</v>
      </c>
      <c r="AC143">
        <v>12.296900000000001</v>
      </c>
      <c r="AD143">
        <v>12.3293</v>
      </c>
      <c r="AE143">
        <v>12.1784</v>
      </c>
      <c r="AF143">
        <v>11.06</v>
      </c>
      <c r="AG143">
        <v>1.2524999999999999</v>
      </c>
      <c r="AH143">
        <v>112.32</v>
      </c>
      <c r="AI143">
        <v>1.5994999999999999</v>
      </c>
      <c r="AJ143">
        <v>1.1266</v>
      </c>
      <c r="AK143">
        <v>7.3933999999999997</v>
      </c>
      <c r="AL143">
        <v>0.96260000000000001</v>
      </c>
      <c r="AM143">
        <v>186.63</v>
      </c>
      <c r="AN143">
        <v>127.33</v>
      </c>
      <c r="AO143">
        <v>115.78</v>
      </c>
      <c r="AP143">
        <v>101.38</v>
      </c>
      <c r="AQ143">
        <v>104.46</v>
      </c>
    </row>
    <row r="144" spans="1:43" x14ac:dyDescent="0.25">
      <c r="A144" s="1">
        <v>41971</v>
      </c>
      <c r="B144">
        <v>1.01E-2</v>
      </c>
      <c r="C144">
        <v>0.432</v>
      </c>
      <c r="D144">
        <v>-0.123</v>
      </c>
      <c r="E144">
        <v>-2.4E-2</v>
      </c>
      <c r="F144">
        <v>0.46850000000000003</v>
      </c>
      <c r="G144">
        <v>0.50970000000000004</v>
      </c>
      <c r="H144">
        <v>-3.4000000000000002E-2</v>
      </c>
      <c r="I144">
        <v>3.0000000000000001E-3</v>
      </c>
      <c r="J144">
        <v>2.1640000000000001</v>
      </c>
      <c r="K144">
        <v>1.9256</v>
      </c>
      <c r="L144">
        <v>0.7</v>
      </c>
      <c r="M144">
        <v>0.41599999999999998</v>
      </c>
      <c r="N144">
        <v>13.33</v>
      </c>
      <c r="O144">
        <v>153.517</v>
      </c>
      <c r="P144">
        <v>88.355999999999995</v>
      </c>
      <c r="Q144">
        <v>100.9498</v>
      </c>
      <c r="R144">
        <v>2.5651000000000002</v>
      </c>
      <c r="S144">
        <v>66.150000000000006</v>
      </c>
      <c r="T144">
        <v>70.150000000000006</v>
      </c>
      <c r="U144">
        <v>390.88</v>
      </c>
      <c r="V144">
        <v>847.51</v>
      </c>
      <c r="W144">
        <v>1739.5</v>
      </c>
      <c r="X144">
        <v>1004.72</v>
      </c>
      <c r="Y144">
        <v>54724</v>
      </c>
      <c r="Z144">
        <v>11.653</v>
      </c>
      <c r="AA144">
        <v>11.7316</v>
      </c>
      <c r="AB144">
        <v>11.53</v>
      </c>
      <c r="AC144">
        <v>11.9694</v>
      </c>
      <c r="AD144">
        <v>12.2212</v>
      </c>
      <c r="AE144">
        <v>12.446099999999999</v>
      </c>
      <c r="AF144">
        <v>11.06</v>
      </c>
      <c r="AG144">
        <v>1.2452000000000001</v>
      </c>
      <c r="AH144">
        <v>118.63</v>
      </c>
      <c r="AI144">
        <v>1.5645</v>
      </c>
      <c r="AJ144">
        <v>1.1415999999999999</v>
      </c>
      <c r="AK144">
        <v>7.4509999999999996</v>
      </c>
      <c r="AL144">
        <v>0.96530000000000005</v>
      </c>
      <c r="AM144">
        <v>186.63</v>
      </c>
      <c r="AN144">
        <v>116.29</v>
      </c>
      <c r="AO144">
        <v>114.7</v>
      </c>
      <c r="AP144">
        <v>101.61</v>
      </c>
      <c r="AQ144">
        <v>101.12</v>
      </c>
    </row>
    <row r="145" spans="1:43" x14ac:dyDescent="0.25">
      <c r="A145" s="1">
        <v>42004</v>
      </c>
      <c r="B145">
        <v>3.5499999999999997E-2</v>
      </c>
      <c r="C145">
        <v>0.41199999999999998</v>
      </c>
      <c r="D145">
        <v>-0.16400000000000001</v>
      </c>
      <c r="E145">
        <v>0</v>
      </c>
      <c r="F145">
        <v>0.66449999999999998</v>
      </c>
      <c r="G145">
        <v>0.44169999999999998</v>
      </c>
      <c r="H145">
        <v>-0.11</v>
      </c>
      <c r="I145">
        <v>-2.7E-2</v>
      </c>
      <c r="J145">
        <v>2.1711999999999998</v>
      </c>
      <c r="K145">
        <v>1.7545999999999999</v>
      </c>
      <c r="L145">
        <v>0.53800000000000003</v>
      </c>
      <c r="M145">
        <v>0.32200000000000001</v>
      </c>
      <c r="N145">
        <v>19.2</v>
      </c>
      <c r="O145">
        <v>200.755</v>
      </c>
      <c r="P145">
        <v>90.269000000000005</v>
      </c>
      <c r="Q145">
        <v>104.03189999999999</v>
      </c>
      <c r="R145">
        <v>2.6581999999999999</v>
      </c>
      <c r="S145">
        <v>53.27</v>
      </c>
      <c r="T145">
        <v>57.33</v>
      </c>
      <c r="U145">
        <v>369.36</v>
      </c>
      <c r="V145">
        <v>822.38</v>
      </c>
      <c r="W145">
        <v>1709.67</v>
      </c>
      <c r="X145">
        <v>956.31</v>
      </c>
      <c r="Y145">
        <v>50007.41</v>
      </c>
      <c r="Z145">
        <v>12.2887</v>
      </c>
      <c r="AA145">
        <v>12.434200000000001</v>
      </c>
      <c r="AB145">
        <v>12.11</v>
      </c>
      <c r="AC145">
        <v>12.7485</v>
      </c>
      <c r="AD145">
        <v>12.8995</v>
      </c>
      <c r="AE145">
        <v>12.96</v>
      </c>
      <c r="AF145">
        <v>11.57</v>
      </c>
      <c r="AG145">
        <v>1.2098</v>
      </c>
      <c r="AH145">
        <v>119.78</v>
      </c>
      <c r="AI145">
        <v>1.5577000000000001</v>
      </c>
      <c r="AJ145">
        <v>1.1620999999999999</v>
      </c>
      <c r="AK145">
        <v>7.8070000000000004</v>
      </c>
      <c r="AL145">
        <v>0.99429999999999996</v>
      </c>
      <c r="AM145">
        <v>186.63</v>
      </c>
      <c r="AN145">
        <v>102.21</v>
      </c>
      <c r="AO145">
        <v>111.58</v>
      </c>
      <c r="AP145">
        <v>101.96</v>
      </c>
      <c r="AQ145">
        <v>101.51</v>
      </c>
    </row>
    <row r="146" spans="1:43" x14ac:dyDescent="0.25">
      <c r="A146" s="1">
        <v>42034</v>
      </c>
      <c r="B146">
        <v>0</v>
      </c>
      <c r="C146">
        <v>0.34499999999999997</v>
      </c>
      <c r="D146">
        <v>-0.215</v>
      </c>
      <c r="E146">
        <v>-1E-3</v>
      </c>
      <c r="F146">
        <v>0.44879999999999998</v>
      </c>
      <c r="G146">
        <v>0.34770000000000001</v>
      </c>
      <c r="H146">
        <v>-0.187</v>
      </c>
      <c r="I146">
        <v>1E-3</v>
      </c>
      <c r="J146">
        <v>1.6407</v>
      </c>
      <c r="K146">
        <v>1.3295999999999999</v>
      </c>
      <c r="L146">
        <v>0.30199999999999999</v>
      </c>
      <c r="M146">
        <v>0.27200000000000002</v>
      </c>
      <c r="N146">
        <v>20.97</v>
      </c>
      <c r="O146">
        <v>226.62899999999999</v>
      </c>
      <c r="P146">
        <v>94.804000000000002</v>
      </c>
      <c r="Q146">
        <v>104.742</v>
      </c>
      <c r="R146">
        <v>2.6836000000000002</v>
      </c>
      <c r="S146">
        <v>48.24</v>
      </c>
      <c r="T146">
        <v>52.99</v>
      </c>
      <c r="U146">
        <v>350.12</v>
      </c>
      <c r="V146">
        <v>792.01</v>
      </c>
      <c r="W146">
        <v>1677.54</v>
      </c>
      <c r="X146">
        <v>961.61</v>
      </c>
      <c r="Y146">
        <v>46907.68</v>
      </c>
      <c r="Z146">
        <v>11.8863</v>
      </c>
      <c r="AA146">
        <v>12.0151</v>
      </c>
      <c r="AB146">
        <v>11.78</v>
      </c>
      <c r="AC146">
        <v>12.2166</v>
      </c>
      <c r="AD146">
        <v>12.4384</v>
      </c>
      <c r="AE146">
        <v>12.745799999999999</v>
      </c>
      <c r="AF146">
        <v>12.08</v>
      </c>
      <c r="AG146">
        <v>1.1291</v>
      </c>
      <c r="AH146">
        <v>117.49</v>
      </c>
      <c r="AI146">
        <v>1.506</v>
      </c>
      <c r="AJ146">
        <v>1.2732000000000001</v>
      </c>
      <c r="AK146">
        <v>8.2858999999999998</v>
      </c>
      <c r="AL146">
        <v>0.92020000000000002</v>
      </c>
      <c r="AM146">
        <v>186.63</v>
      </c>
      <c r="AN146">
        <v>102.66</v>
      </c>
      <c r="AO146">
        <v>112.07</v>
      </c>
      <c r="AP146">
        <v>101.24</v>
      </c>
      <c r="AQ146">
        <v>96.98</v>
      </c>
    </row>
    <row r="147" spans="1:43" x14ac:dyDescent="0.25">
      <c r="A147" s="1">
        <v>42062</v>
      </c>
      <c r="B147">
        <v>1.01E-2</v>
      </c>
      <c r="C147">
        <v>0.38100000000000001</v>
      </c>
      <c r="D147">
        <v>-0.26900000000000002</v>
      </c>
      <c r="E147">
        <v>-4.0000000000000001E-3</v>
      </c>
      <c r="F147">
        <v>0.61839999999999995</v>
      </c>
      <c r="G147">
        <v>0.43070000000000003</v>
      </c>
      <c r="H147">
        <v>-0.22900000000000001</v>
      </c>
      <c r="I147">
        <v>8.9999999999999993E-3</v>
      </c>
      <c r="J147">
        <v>1.9930000000000001</v>
      </c>
      <c r="K147">
        <v>1.7954000000000001</v>
      </c>
      <c r="L147">
        <v>0.32700000000000001</v>
      </c>
      <c r="M147">
        <v>0.32900000000000001</v>
      </c>
      <c r="N147">
        <v>13.34</v>
      </c>
      <c r="O147">
        <v>242.90600000000001</v>
      </c>
      <c r="P147">
        <v>95.293000000000006</v>
      </c>
      <c r="Q147">
        <v>105.71210000000001</v>
      </c>
      <c r="R147">
        <v>2.8389000000000002</v>
      </c>
      <c r="S147">
        <v>49.76</v>
      </c>
      <c r="T147">
        <v>62.58</v>
      </c>
      <c r="U147">
        <v>356.13</v>
      </c>
      <c r="V147">
        <v>735.16</v>
      </c>
      <c r="W147">
        <v>1772.86</v>
      </c>
      <c r="X147">
        <v>990.28</v>
      </c>
      <c r="Y147">
        <v>51583.09</v>
      </c>
      <c r="Z147">
        <v>12.4573</v>
      </c>
      <c r="AA147">
        <v>12.3209</v>
      </c>
      <c r="AB147">
        <v>12.149900000000001</v>
      </c>
      <c r="AC147">
        <v>12.507899999999999</v>
      </c>
      <c r="AD147">
        <v>12.7324</v>
      </c>
      <c r="AE147">
        <v>13.05</v>
      </c>
      <c r="AF147">
        <v>12.09</v>
      </c>
      <c r="AG147">
        <v>1.1195999999999999</v>
      </c>
      <c r="AH147">
        <v>119.63</v>
      </c>
      <c r="AI147">
        <v>1.5438000000000001</v>
      </c>
      <c r="AJ147">
        <v>1.2515000000000001</v>
      </c>
      <c r="AK147">
        <v>8.3373000000000008</v>
      </c>
      <c r="AL147">
        <v>0.95430000000000004</v>
      </c>
      <c r="AM147">
        <v>186.63</v>
      </c>
      <c r="AN147">
        <v>97.57</v>
      </c>
      <c r="AO147">
        <v>111.04</v>
      </c>
      <c r="AP147">
        <v>100.51</v>
      </c>
      <c r="AQ147">
        <v>95.44</v>
      </c>
    </row>
    <row r="148" spans="1:43" x14ac:dyDescent="0.25">
      <c r="A148" s="1">
        <v>42094</v>
      </c>
      <c r="B148">
        <v>2.0299999999999999E-2</v>
      </c>
      <c r="C148">
        <v>0.434</v>
      </c>
      <c r="D148">
        <v>-0.312</v>
      </c>
      <c r="E148">
        <v>5.0000000000000001E-3</v>
      </c>
      <c r="F148">
        <v>0.55510000000000004</v>
      </c>
      <c r="G148">
        <v>0.41980000000000001</v>
      </c>
      <c r="H148">
        <v>-0.255</v>
      </c>
      <c r="I148">
        <v>3.5999999999999997E-2</v>
      </c>
      <c r="J148">
        <v>1.9231</v>
      </c>
      <c r="K148">
        <v>1.5759000000000001</v>
      </c>
      <c r="L148">
        <v>0.18</v>
      </c>
      <c r="M148">
        <v>0.39600000000000002</v>
      </c>
      <c r="N148">
        <v>15.29</v>
      </c>
      <c r="O148">
        <v>282.70499999999998</v>
      </c>
      <c r="P148">
        <v>98.356999999999999</v>
      </c>
      <c r="Q148">
        <v>107.0934</v>
      </c>
      <c r="R148">
        <v>3.1974</v>
      </c>
      <c r="S148">
        <v>47.6</v>
      </c>
      <c r="T148">
        <v>55.11</v>
      </c>
      <c r="U148">
        <v>346.77</v>
      </c>
      <c r="V148">
        <v>724.33</v>
      </c>
      <c r="W148">
        <v>1740.81</v>
      </c>
      <c r="X148">
        <v>974.57</v>
      </c>
      <c r="Y148">
        <v>51150.16</v>
      </c>
      <c r="Z148">
        <v>13.054600000000001</v>
      </c>
      <c r="AA148">
        <v>12.987399999999999</v>
      </c>
      <c r="AB148">
        <v>13.206300000000001</v>
      </c>
      <c r="AC148">
        <v>13.1709</v>
      </c>
      <c r="AD148">
        <v>13.3</v>
      </c>
      <c r="AE148">
        <v>13.5106</v>
      </c>
      <c r="AF148">
        <v>12.6</v>
      </c>
      <c r="AG148">
        <v>1.0730999999999999</v>
      </c>
      <c r="AH148">
        <v>120.13</v>
      </c>
      <c r="AI148">
        <v>1.4818</v>
      </c>
      <c r="AJ148">
        <v>1.2685999999999999</v>
      </c>
      <c r="AK148">
        <v>8.6313999999999993</v>
      </c>
      <c r="AL148">
        <v>0.97270000000000001</v>
      </c>
      <c r="AM148">
        <v>186.63</v>
      </c>
      <c r="AN148">
        <v>109.93</v>
      </c>
      <c r="AO148">
        <v>110.67</v>
      </c>
      <c r="AP148">
        <v>100.35</v>
      </c>
      <c r="AQ148">
        <v>104.36</v>
      </c>
    </row>
    <row r="149" spans="1:43" x14ac:dyDescent="0.25">
      <c r="A149" s="1">
        <v>42124</v>
      </c>
      <c r="B149">
        <v>0</v>
      </c>
      <c r="C149">
        <v>0.41599999999999998</v>
      </c>
      <c r="D149">
        <v>-0.36699999999999999</v>
      </c>
      <c r="E149">
        <v>-1.6E-2</v>
      </c>
      <c r="F149">
        <v>0.56699999999999995</v>
      </c>
      <c r="G149">
        <v>0.53210000000000002</v>
      </c>
      <c r="H149">
        <v>-0.224</v>
      </c>
      <c r="I149">
        <v>7.0000000000000001E-3</v>
      </c>
      <c r="J149">
        <v>2.0316999999999998</v>
      </c>
      <c r="K149">
        <v>1.8331</v>
      </c>
      <c r="L149">
        <v>0.36399999999999999</v>
      </c>
      <c r="M149">
        <v>0.33600000000000002</v>
      </c>
      <c r="N149">
        <v>14.55</v>
      </c>
      <c r="O149">
        <v>234.34100000000001</v>
      </c>
      <c r="P149">
        <v>94.6</v>
      </c>
      <c r="Q149">
        <v>106.0605</v>
      </c>
      <c r="R149">
        <v>3.0144000000000002</v>
      </c>
      <c r="S149">
        <v>59.63</v>
      </c>
      <c r="T149">
        <v>66.78</v>
      </c>
      <c r="U149">
        <v>356.82</v>
      </c>
      <c r="V149">
        <v>739.99</v>
      </c>
      <c r="W149">
        <v>1778.4</v>
      </c>
      <c r="X149">
        <v>1047.78</v>
      </c>
      <c r="Y149">
        <v>56229.38</v>
      </c>
      <c r="Z149">
        <v>12.629899999999999</v>
      </c>
      <c r="AA149">
        <v>12.6089</v>
      </c>
      <c r="AB149">
        <v>12.337400000000001</v>
      </c>
      <c r="AC149">
        <v>13.0975</v>
      </c>
      <c r="AD149">
        <v>13.3523</v>
      </c>
      <c r="AE149">
        <v>13.451000000000001</v>
      </c>
      <c r="AF149">
        <v>13.11</v>
      </c>
      <c r="AG149">
        <v>1.1224000000000001</v>
      </c>
      <c r="AH149">
        <v>119.38</v>
      </c>
      <c r="AI149">
        <v>1.5350999999999999</v>
      </c>
      <c r="AJ149">
        <v>1.2077</v>
      </c>
      <c r="AK149">
        <v>8.3331</v>
      </c>
      <c r="AL149">
        <v>0.93240000000000001</v>
      </c>
      <c r="AM149">
        <v>186.63</v>
      </c>
      <c r="AN149">
        <v>103.51</v>
      </c>
      <c r="AO149">
        <v>108.53</v>
      </c>
      <c r="AP149">
        <v>99.04</v>
      </c>
      <c r="AQ149">
        <v>99.3</v>
      </c>
    </row>
    <row r="150" spans="1:43" x14ac:dyDescent="0.25">
      <c r="A150" s="1">
        <v>42153</v>
      </c>
      <c r="B150">
        <v>0</v>
      </c>
      <c r="C150">
        <v>0.432</v>
      </c>
      <c r="D150">
        <v>-0.33</v>
      </c>
      <c r="E150">
        <v>1E-3</v>
      </c>
      <c r="F150">
        <v>0.60529999999999995</v>
      </c>
      <c r="G150">
        <v>0.50600000000000001</v>
      </c>
      <c r="H150">
        <v>-0.22900000000000001</v>
      </c>
      <c r="I150">
        <v>-6.0000000000000001E-3</v>
      </c>
      <c r="J150">
        <v>2.1214</v>
      </c>
      <c r="K150">
        <v>1.8128</v>
      </c>
      <c r="L150">
        <v>0.48599999999999999</v>
      </c>
      <c r="M150">
        <v>0.38900000000000001</v>
      </c>
      <c r="N150">
        <v>13.84</v>
      </c>
      <c r="O150">
        <v>235.49600000000001</v>
      </c>
      <c r="P150">
        <v>96.906999999999996</v>
      </c>
      <c r="Q150">
        <v>106.27209999999999</v>
      </c>
      <c r="R150">
        <v>3.1787000000000001</v>
      </c>
      <c r="S150">
        <v>60.3</v>
      </c>
      <c r="T150">
        <v>65.56</v>
      </c>
      <c r="U150">
        <v>370.15</v>
      </c>
      <c r="V150">
        <v>725.07</v>
      </c>
      <c r="W150">
        <v>1779.31</v>
      </c>
      <c r="X150">
        <v>1004.22</v>
      </c>
      <c r="Y150">
        <v>52760.480000000003</v>
      </c>
      <c r="Z150">
        <v>12.2873</v>
      </c>
      <c r="AA150">
        <v>12.38</v>
      </c>
      <c r="AB150">
        <v>12.211399999999999</v>
      </c>
      <c r="AC150">
        <v>12.706099999999999</v>
      </c>
      <c r="AD150">
        <v>13.067399999999999</v>
      </c>
      <c r="AE150">
        <v>13.76</v>
      </c>
      <c r="AF150">
        <v>13.13</v>
      </c>
      <c r="AG150">
        <v>1.0986</v>
      </c>
      <c r="AH150">
        <v>124.15</v>
      </c>
      <c r="AI150">
        <v>1.5290999999999999</v>
      </c>
      <c r="AJ150">
        <v>1.2454000000000001</v>
      </c>
      <c r="AK150">
        <v>8.5188000000000006</v>
      </c>
      <c r="AL150">
        <v>0.94030000000000002</v>
      </c>
      <c r="AM150">
        <v>186.63</v>
      </c>
      <c r="AN150">
        <v>108.44</v>
      </c>
      <c r="AO150">
        <v>107.29</v>
      </c>
      <c r="AP150">
        <v>98.38</v>
      </c>
      <c r="AQ150">
        <v>97.42</v>
      </c>
    </row>
    <row r="151" spans="1:43" x14ac:dyDescent="0.25">
      <c r="A151" s="1">
        <v>42185</v>
      </c>
      <c r="B151">
        <v>5.1000000000000004E-3</v>
      </c>
      <c r="C151">
        <v>0.47899999999999998</v>
      </c>
      <c r="D151">
        <v>-0.29799999999999999</v>
      </c>
      <c r="E151">
        <v>2E-3</v>
      </c>
      <c r="F151">
        <v>0.64270000000000005</v>
      </c>
      <c r="G151">
        <v>0.55730000000000002</v>
      </c>
      <c r="H151">
        <v>-0.22900000000000001</v>
      </c>
      <c r="I151">
        <v>0</v>
      </c>
      <c r="J151">
        <v>2.3531</v>
      </c>
      <c r="K151">
        <v>2.0236000000000001</v>
      </c>
      <c r="L151">
        <v>0.76300000000000001</v>
      </c>
      <c r="M151">
        <v>0.45900000000000002</v>
      </c>
      <c r="N151">
        <v>18.23</v>
      </c>
      <c r="O151">
        <v>259.89</v>
      </c>
      <c r="P151">
        <v>95.484999999999999</v>
      </c>
      <c r="Q151">
        <v>107.2589</v>
      </c>
      <c r="R151">
        <v>3.1030000000000002</v>
      </c>
      <c r="S151">
        <v>59.47</v>
      </c>
      <c r="T151">
        <v>63.59</v>
      </c>
      <c r="U151">
        <v>377.69</v>
      </c>
      <c r="V151">
        <v>701.48</v>
      </c>
      <c r="W151">
        <v>1735.61</v>
      </c>
      <c r="X151">
        <v>972.25</v>
      </c>
      <c r="Y151">
        <v>53080.88</v>
      </c>
      <c r="Z151">
        <v>12.6531</v>
      </c>
      <c r="AA151">
        <v>12.719200000000001</v>
      </c>
      <c r="AB151">
        <v>12.5764</v>
      </c>
      <c r="AC151">
        <v>13.065799999999999</v>
      </c>
      <c r="AD151">
        <v>13.6</v>
      </c>
      <c r="AE151">
        <v>14.2704</v>
      </c>
      <c r="AF151">
        <v>13.64</v>
      </c>
      <c r="AG151">
        <v>1.1147</v>
      </c>
      <c r="AH151">
        <v>122.5</v>
      </c>
      <c r="AI151">
        <v>1.5711999999999999</v>
      </c>
      <c r="AJ151">
        <v>1.2494000000000001</v>
      </c>
      <c r="AK151">
        <v>8.2872000000000003</v>
      </c>
      <c r="AL151">
        <v>0.9355</v>
      </c>
      <c r="AM151">
        <v>186.63</v>
      </c>
      <c r="AN151">
        <v>107.78</v>
      </c>
      <c r="AO151">
        <v>106.47</v>
      </c>
      <c r="AP151">
        <v>97.4</v>
      </c>
      <c r="AQ151">
        <v>96.68</v>
      </c>
    </row>
    <row r="152" spans="1:43" x14ac:dyDescent="0.25">
      <c r="A152" s="1">
        <v>42216</v>
      </c>
      <c r="B152">
        <v>6.0999999999999999E-2</v>
      </c>
      <c r="C152">
        <v>0.48</v>
      </c>
      <c r="D152">
        <v>-0.312</v>
      </c>
      <c r="E152">
        <v>-1E-3</v>
      </c>
      <c r="F152">
        <v>0.66059999999999997</v>
      </c>
      <c r="G152">
        <v>0.56440000000000001</v>
      </c>
      <c r="H152">
        <v>-0.23499999999999999</v>
      </c>
      <c r="I152">
        <v>2E-3</v>
      </c>
      <c r="J152">
        <v>2.1800999999999999</v>
      </c>
      <c r="K152">
        <v>1.8811</v>
      </c>
      <c r="L152">
        <v>0.64300000000000002</v>
      </c>
      <c r="M152">
        <v>0.40500000000000003</v>
      </c>
      <c r="N152">
        <v>12.12</v>
      </c>
      <c r="O152">
        <v>292.66500000000002</v>
      </c>
      <c r="P152">
        <v>97.335999999999999</v>
      </c>
      <c r="Q152">
        <v>108.8631</v>
      </c>
      <c r="R152">
        <v>3.4211</v>
      </c>
      <c r="S152">
        <v>47.12</v>
      </c>
      <c r="T152">
        <v>52.21</v>
      </c>
      <c r="U152">
        <v>360.64</v>
      </c>
      <c r="V152">
        <v>694.57</v>
      </c>
      <c r="W152">
        <v>1765.6</v>
      </c>
      <c r="X152">
        <v>901.68</v>
      </c>
      <c r="Y152">
        <v>50864.77</v>
      </c>
      <c r="Z152">
        <v>12.816599999999999</v>
      </c>
      <c r="AA152">
        <v>12.797800000000001</v>
      </c>
      <c r="AB152">
        <v>12.95</v>
      </c>
      <c r="AC152">
        <v>12.8453</v>
      </c>
      <c r="AD152">
        <v>13.091100000000001</v>
      </c>
      <c r="AE152">
        <v>13.884399999999999</v>
      </c>
      <c r="AF152">
        <v>14.13</v>
      </c>
      <c r="AG152">
        <v>1.0984</v>
      </c>
      <c r="AH152">
        <v>123.89</v>
      </c>
      <c r="AI152">
        <v>1.5622</v>
      </c>
      <c r="AJ152">
        <v>1.3090999999999999</v>
      </c>
      <c r="AK152">
        <v>8.6251999999999995</v>
      </c>
      <c r="AL152">
        <v>0.96630000000000005</v>
      </c>
      <c r="AM152">
        <v>186.63</v>
      </c>
      <c r="AN152">
        <v>111.25</v>
      </c>
      <c r="AO152">
        <v>104.59</v>
      </c>
      <c r="AP152">
        <v>96.34</v>
      </c>
      <c r="AQ152">
        <v>99.79</v>
      </c>
    </row>
    <row r="153" spans="1:43" x14ac:dyDescent="0.25">
      <c r="A153" s="1">
        <v>42247</v>
      </c>
      <c r="B153">
        <v>0</v>
      </c>
      <c r="C153">
        <v>0.497</v>
      </c>
      <c r="D153">
        <v>-0.33100000000000002</v>
      </c>
      <c r="E153">
        <v>0</v>
      </c>
      <c r="F153">
        <v>0.73750000000000004</v>
      </c>
      <c r="G153">
        <v>0.68489999999999995</v>
      </c>
      <c r="H153">
        <v>-0.20699999999999999</v>
      </c>
      <c r="I153">
        <v>0.01</v>
      </c>
      <c r="J153">
        <v>2.2179000000000002</v>
      </c>
      <c r="K153">
        <v>1.9616</v>
      </c>
      <c r="L153">
        <v>0.79700000000000004</v>
      </c>
      <c r="M153">
        <v>0.375</v>
      </c>
      <c r="N153">
        <v>28.43</v>
      </c>
      <c r="O153">
        <v>350.77199999999999</v>
      </c>
      <c r="P153">
        <v>95.823999999999998</v>
      </c>
      <c r="Q153">
        <v>112.30540000000001</v>
      </c>
      <c r="R153">
        <v>3.6198000000000001</v>
      </c>
      <c r="S153">
        <v>49.2</v>
      </c>
      <c r="T153">
        <v>54.15</v>
      </c>
      <c r="U153">
        <v>360.54</v>
      </c>
      <c r="V153">
        <v>647.66999999999996</v>
      </c>
      <c r="W153">
        <v>1645.43</v>
      </c>
      <c r="X153">
        <v>818.73</v>
      </c>
      <c r="Y153">
        <v>46625.52</v>
      </c>
      <c r="Z153">
        <v>14.149800000000001</v>
      </c>
      <c r="AA153">
        <v>14.12</v>
      </c>
      <c r="AB153">
        <v>14.2271</v>
      </c>
      <c r="AC153">
        <v>14.1525</v>
      </c>
      <c r="AD153">
        <v>14.1457</v>
      </c>
      <c r="AE153">
        <v>14.38</v>
      </c>
      <c r="AF153">
        <v>14.13</v>
      </c>
      <c r="AG153">
        <v>1.1211</v>
      </c>
      <c r="AH153">
        <v>121.23</v>
      </c>
      <c r="AI153">
        <v>1.5345</v>
      </c>
      <c r="AJ153">
        <v>1.3140000000000001</v>
      </c>
      <c r="AK153">
        <v>8.4731000000000005</v>
      </c>
      <c r="AL153">
        <v>0.96730000000000005</v>
      </c>
      <c r="AM153">
        <v>186.63</v>
      </c>
      <c r="AN153">
        <v>113.73</v>
      </c>
      <c r="AO153">
        <v>105.02</v>
      </c>
      <c r="AP153">
        <v>96.78</v>
      </c>
      <c r="AQ153">
        <v>98.12</v>
      </c>
    </row>
    <row r="154" spans="1:43" x14ac:dyDescent="0.25">
      <c r="A154" s="1">
        <v>42277</v>
      </c>
      <c r="B154">
        <v>-2.0299999999999999E-2</v>
      </c>
      <c r="C154">
        <v>0.499</v>
      </c>
      <c r="D154">
        <v>-0.376</v>
      </c>
      <c r="E154">
        <v>-2.3E-2</v>
      </c>
      <c r="F154">
        <v>0.62890000000000001</v>
      </c>
      <c r="G154">
        <v>0.56010000000000004</v>
      </c>
      <c r="H154">
        <v>-0.255</v>
      </c>
      <c r="I154">
        <v>1.4999999999999999E-2</v>
      </c>
      <c r="J154">
        <v>2.0367999999999999</v>
      </c>
      <c r="K154">
        <v>1.7614000000000001</v>
      </c>
      <c r="L154">
        <v>0.58599999999999997</v>
      </c>
      <c r="M154">
        <v>0.35099999999999998</v>
      </c>
      <c r="N154">
        <v>24.5</v>
      </c>
      <c r="O154">
        <v>480.02699999999999</v>
      </c>
      <c r="P154">
        <v>96.35</v>
      </c>
      <c r="Q154">
        <v>114.149</v>
      </c>
      <c r="R154">
        <v>3.9470999999999998</v>
      </c>
      <c r="S154">
        <v>45.09</v>
      </c>
      <c r="T154">
        <v>48.37</v>
      </c>
      <c r="U154">
        <v>360.87</v>
      </c>
      <c r="V154">
        <v>639.26</v>
      </c>
      <c r="W154">
        <v>1581.92</v>
      </c>
      <c r="X154">
        <v>792.05</v>
      </c>
      <c r="Y154">
        <v>45059.34</v>
      </c>
      <c r="Z154">
        <v>15.591799999999999</v>
      </c>
      <c r="AA154">
        <v>15.6174</v>
      </c>
      <c r="AB154">
        <v>15.57</v>
      </c>
      <c r="AC154">
        <v>15.857200000000001</v>
      </c>
      <c r="AD154">
        <v>15.820600000000001</v>
      </c>
      <c r="AE154">
        <v>15.568199999999999</v>
      </c>
      <c r="AF154">
        <v>14.13</v>
      </c>
      <c r="AG154">
        <v>1.1176999999999999</v>
      </c>
      <c r="AH154">
        <v>119.88</v>
      </c>
      <c r="AI154">
        <v>1.5127999999999999</v>
      </c>
      <c r="AJ154">
        <v>1.3312999999999999</v>
      </c>
      <c r="AK154">
        <v>8.3698999999999995</v>
      </c>
      <c r="AL154">
        <v>0.97330000000000005</v>
      </c>
      <c r="AM154">
        <v>186.63</v>
      </c>
      <c r="AN154">
        <v>109.91</v>
      </c>
      <c r="AO154">
        <v>102.66</v>
      </c>
      <c r="AP154">
        <v>96.03</v>
      </c>
      <c r="AQ154">
        <v>96.34</v>
      </c>
    </row>
    <row r="155" spans="1:43" x14ac:dyDescent="0.25">
      <c r="A155" s="1">
        <v>42307</v>
      </c>
      <c r="B155">
        <v>7.1199999999999999E-2</v>
      </c>
      <c r="C155">
        <v>0.501</v>
      </c>
      <c r="D155">
        <v>-0.371</v>
      </c>
      <c r="E155">
        <v>-1E-3</v>
      </c>
      <c r="F155">
        <v>0.72399999999999998</v>
      </c>
      <c r="G155">
        <v>0.62339999999999995</v>
      </c>
      <c r="H155">
        <v>-0.317</v>
      </c>
      <c r="I155">
        <v>2E-3</v>
      </c>
      <c r="J155">
        <v>2.1421000000000001</v>
      </c>
      <c r="K155">
        <v>1.9212</v>
      </c>
      <c r="L155">
        <v>0.51700000000000002</v>
      </c>
      <c r="M155">
        <v>0.30399999999999999</v>
      </c>
      <c r="N155">
        <v>15.07</v>
      </c>
      <c r="O155">
        <v>440.51400000000001</v>
      </c>
      <c r="P155">
        <v>96.945999999999998</v>
      </c>
      <c r="Q155">
        <v>112.8038</v>
      </c>
      <c r="R155">
        <v>3.8567999999999998</v>
      </c>
      <c r="S155">
        <v>46.59</v>
      </c>
      <c r="T155">
        <v>49.56</v>
      </c>
      <c r="U155">
        <v>368.77</v>
      </c>
      <c r="V155">
        <v>600.46</v>
      </c>
      <c r="W155">
        <v>1705.8</v>
      </c>
      <c r="X155">
        <v>847.84</v>
      </c>
      <c r="Y155">
        <v>45868.82</v>
      </c>
      <c r="Z155">
        <v>15.934699999999999</v>
      </c>
      <c r="AA155">
        <v>15.9552</v>
      </c>
      <c r="AB155">
        <v>16.025500000000001</v>
      </c>
      <c r="AC155">
        <v>15.9885</v>
      </c>
      <c r="AD155">
        <v>15.853899999999999</v>
      </c>
      <c r="AE155">
        <v>15.401</v>
      </c>
      <c r="AF155">
        <v>14.14</v>
      </c>
      <c r="AG155">
        <v>1.1006</v>
      </c>
      <c r="AH155">
        <v>120.62</v>
      </c>
      <c r="AI155">
        <v>1.5427999999999999</v>
      </c>
      <c r="AJ155">
        <v>1.3080000000000001</v>
      </c>
      <c r="AK155">
        <v>8.5372000000000003</v>
      </c>
      <c r="AL155">
        <v>0.9879</v>
      </c>
      <c r="AM155">
        <v>186.63</v>
      </c>
      <c r="AN155">
        <v>113.32</v>
      </c>
      <c r="AO155">
        <v>102.51</v>
      </c>
      <c r="AP155">
        <v>96.48</v>
      </c>
      <c r="AQ155">
        <v>97.7</v>
      </c>
    </row>
    <row r="156" spans="1:43" x14ac:dyDescent="0.25">
      <c r="A156" s="1">
        <v>42338</v>
      </c>
      <c r="B156">
        <v>0.1678</v>
      </c>
      <c r="C156">
        <v>0.49299999999999999</v>
      </c>
      <c r="D156">
        <v>-0.434</v>
      </c>
      <c r="E156">
        <v>-6.9000000000000006E-2</v>
      </c>
      <c r="F156">
        <v>0.9304</v>
      </c>
      <c r="G156">
        <v>0.60089999999999999</v>
      </c>
      <c r="H156">
        <v>-0.41899999999999998</v>
      </c>
      <c r="I156">
        <v>-1.0999999999999999E-2</v>
      </c>
      <c r="J156">
        <v>2.206</v>
      </c>
      <c r="K156">
        <v>1.8236000000000001</v>
      </c>
      <c r="L156">
        <v>0.47199999999999998</v>
      </c>
      <c r="M156">
        <v>0.30199999999999999</v>
      </c>
      <c r="N156">
        <v>16.13</v>
      </c>
      <c r="O156">
        <v>444.13299999999998</v>
      </c>
      <c r="P156">
        <v>100.17</v>
      </c>
      <c r="Q156">
        <v>113.2985</v>
      </c>
      <c r="R156">
        <v>3.8685</v>
      </c>
      <c r="S156">
        <v>41.65</v>
      </c>
      <c r="T156">
        <v>44.61</v>
      </c>
      <c r="U156">
        <v>362.29</v>
      </c>
      <c r="V156">
        <v>548.80999999999995</v>
      </c>
      <c r="W156">
        <v>1694.4</v>
      </c>
      <c r="X156">
        <v>814.3</v>
      </c>
      <c r="Y156">
        <v>45120.36</v>
      </c>
      <c r="Z156">
        <v>15.917</v>
      </c>
      <c r="AA156">
        <v>15.9594</v>
      </c>
      <c r="AB156">
        <v>15.9031</v>
      </c>
      <c r="AC156">
        <v>16.2377</v>
      </c>
      <c r="AD156">
        <v>16.168600000000001</v>
      </c>
      <c r="AE156">
        <v>15.728</v>
      </c>
      <c r="AF156">
        <v>14.14</v>
      </c>
      <c r="AG156">
        <v>1.0565</v>
      </c>
      <c r="AH156">
        <v>123.11</v>
      </c>
      <c r="AI156">
        <v>1.5056</v>
      </c>
      <c r="AJ156">
        <v>1.3362000000000001</v>
      </c>
      <c r="AK156">
        <v>8.7276000000000007</v>
      </c>
      <c r="AL156">
        <v>1.0289999999999999</v>
      </c>
      <c r="AM156">
        <v>186.63</v>
      </c>
      <c r="AN156">
        <v>102.02</v>
      </c>
      <c r="AO156">
        <v>100.71</v>
      </c>
      <c r="AP156">
        <v>95.47</v>
      </c>
      <c r="AQ156">
        <v>94.96</v>
      </c>
    </row>
    <row r="157" spans="1:43" x14ac:dyDescent="0.25">
      <c r="A157" s="1">
        <v>42369</v>
      </c>
      <c r="B157">
        <v>0.16270000000000001</v>
      </c>
      <c r="C157">
        <v>0.50800000000000001</v>
      </c>
      <c r="D157">
        <v>-0.53900000000000003</v>
      </c>
      <c r="E157">
        <v>-3.5000000000000003E-2</v>
      </c>
      <c r="F157">
        <v>1.0477000000000001</v>
      </c>
      <c r="G157">
        <v>0.64780000000000004</v>
      </c>
      <c r="H157">
        <v>-0.34899999999999998</v>
      </c>
      <c r="I157">
        <v>-1.4E-2</v>
      </c>
      <c r="J157">
        <v>2.2694000000000001</v>
      </c>
      <c r="K157">
        <v>1.9585999999999999</v>
      </c>
      <c r="L157">
        <v>0.628</v>
      </c>
      <c r="M157">
        <v>0.26</v>
      </c>
      <c r="N157">
        <v>18.21</v>
      </c>
      <c r="O157">
        <v>494.93900000000002</v>
      </c>
      <c r="P157">
        <v>98.631</v>
      </c>
      <c r="Q157">
        <v>115.1947</v>
      </c>
      <c r="R157">
        <v>3.964</v>
      </c>
      <c r="S157">
        <v>37.04</v>
      </c>
      <c r="T157">
        <v>37.28</v>
      </c>
      <c r="U157">
        <v>334.99</v>
      </c>
      <c r="V157">
        <v>555.53</v>
      </c>
      <c r="W157">
        <v>1662.79</v>
      </c>
      <c r="X157">
        <v>794.14</v>
      </c>
      <c r="Y157">
        <v>43349.96</v>
      </c>
      <c r="Z157">
        <v>16.5305</v>
      </c>
      <c r="AA157">
        <v>16.618300000000001</v>
      </c>
      <c r="AB157">
        <v>16.518899999999999</v>
      </c>
      <c r="AC157">
        <v>16.71</v>
      </c>
      <c r="AD157">
        <v>16.5337</v>
      </c>
      <c r="AE157">
        <v>15.8674</v>
      </c>
      <c r="AF157">
        <v>14.14</v>
      </c>
      <c r="AG157">
        <v>1.0862000000000001</v>
      </c>
      <c r="AH157">
        <v>120.22</v>
      </c>
      <c r="AI157">
        <v>1.4736</v>
      </c>
      <c r="AJ157">
        <v>1.3838999999999999</v>
      </c>
      <c r="AK157">
        <v>8.4412000000000003</v>
      </c>
      <c r="AL157">
        <v>1.0021</v>
      </c>
      <c r="AM157">
        <v>186.63</v>
      </c>
      <c r="AN157">
        <v>89.97</v>
      </c>
      <c r="AO157">
        <v>99.25</v>
      </c>
      <c r="AP157">
        <v>95.29</v>
      </c>
      <c r="AQ157">
        <v>95.38</v>
      </c>
    </row>
    <row r="158" spans="1:43" x14ac:dyDescent="0.25">
      <c r="A158" s="1">
        <v>42398</v>
      </c>
      <c r="B158">
        <v>0.31030000000000002</v>
      </c>
      <c r="C158">
        <v>0.47699999999999998</v>
      </c>
      <c r="D158">
        <v>-0.47599999999999998</v>
      </c>
      <c r="E158">
        <v>-3.2000000000000001E-2</v>
      </c>
      <c r="F158">
        <v>0.77370000000000005</v>
      </c>
      <c r="G158">
        <v>0.33200000000000002</v>
      </c>
      <c r="H158">
        <v>-0.49</v>
      </c>
      <c r="I158">
        <v>-0.08</v>
      </c>
      <c r="J158">
        <v>1.9209000000000001</v>
      </c>
      <c r="K158">
        <v>1.5588</v>
      </c>
      <c r="L158">
        <v>0.32400000000000001</v>
      </c>
      <c r="M158">
        <v>9.5000000000000001E-2</v>
      </c>
      <c r="N158">
        <v>20.2</v>
      </c>
      <c r="O158">
        <v>473.447</v>
      </c>
      <c r="P158">
        <v>99.605999999999995</v>
      </c>
      <c r="Q158">
        <v>118.6131</v>
      </c>
      <c r="R158">
        <v>3.9990999999999999</v>
      </c>
      <c r="S158">
        <v>33.619999999999997</v>
      </c>
      <c r="T158">
        <v>34.74</v>
      </c>
      <c r="U158">
        <v>339.11</v>
      </c>
      <c r="V158">
        <v>566.29</v>
      </c>
      <c r="W158">
        <v>1562.18</v>
      </c>
      <c r="X158">
        <v>742.37</v>
      </c>
      <c r="Y158">
        <v>40405.99</v>
      </c>
      <c r="Z158">
        <v>15.989599999999999</v>
      </c>
      <c r="AA158">
        <v>15.944599999999999</v>
      </c>
      <c r="AB158">
        <v>16.3264</v>
      </c>
      <c r="AC158">
        <v>15.7357</v>
      </c>
      <c r="AD158">
        <v>15.2468</v>
      </c>
      <c r="AE158">
        <v>14.5905</v>
      </c>
      <c r="AF158">
        <v>14.13</v>
      </c>
      <c r="AG158">
        <v>1.0831</v>
      </c>
      <c r="AH158">
        <v>121.14</v>
      </c>
      <c r="AI158">
        <v>1.4244000000000001</v>
      </c>
      <c r="AJ158">
        <v>1.3976</v>
      </c>
      <c r="AK158">
        <v>8.5789000000000009</v>
      </c>
      <c r="AL158">
        <v>1.0230999999999999</v>
      </c>
      <c r="AM158">
        <v>186.63</v>
      </c>
      <c r="AN158">
        <v>88.88</v>
      </c>
      <c r="AO158">
        <v>100.05</v>
      </c>
      <c r="AP158">
        <v>94.68</v>
      </c>
      <c r="AQ158">
        <v>89.77</v>
      </c>
    </row>
    <row r="159" spans="1:43" x14ac:dyDescent="0.25">
      <c r="A159" s="1">
        <v>42429</v>
      </c>
      <c r="B159">
        <v>0.31540000000000001</v>
      </c>
      <c r="C159">
        <v>0.45400000000000001</v>
      </c>
      <c r="D159">
        <v>-0.59799999999999998</v>
      </c>
      <c r="E159">
        <v>-9.7000000000000003E-2</v>
      </c>
      <c r="F159">
        <v>0.77370000000000005</v>
      </c>
      <c r="G159">
        <v>0.37490000000000001</v>
      </c>
      <c r="H159">
        <v>-0.57399999999999995</v>
      </c>
      <c r="I159">
        <v>-0.24</v>
      </c>
      <c r="J159">
        <v>1.7346999999999999</v>
      </c>
      <c r="K159">
        <v>1.3354999999999999</v>
      </c>
      <c r="L159">
        <v>0.106</v>
      </c>
      <c r="M159">
        <v>-6.5000000000000002E-2</v>
      </c>
      <c r="N159">
        <v>20.55</v>
      </c>
      <c r="O159">
        <v>459.649</v>
      </c>
      <c r="P159">
        <v>98.210999999999999</v>
      </c>
      <c r="Q159">
        <v>119.09269999999999</v>
      </c>
      <c r="R159">
        <v>4.0163000000000002</v>
      </c>
      <c r="S159">
        <v>33.75</v>
      </c>
      <c r="T159">
        <v>35.97</v>
      </c>
      <c r="U159">
        <v>333.86</v>
      </c>
      <c r="V159">
        <v>588.91</v>
      </c>
      <c r="W159">
        <v>1547.17</v>
      </c>
      <c r="X159">
        <v>740.33</v>
      </c>
      <c r="Y159">
        <v>42793.86</v>
      </c>
      <c r="Z159">
        <v>15.758699999999999</v>
      </c>
      <c r="AA159">
        <v>15.608499999999999</v>
      </c>
      <c r="AB159">
        <v>16.279800000000002</v>
      </c>
      <c r="AC159">
        <v>15.2506</v>
      </c>
      <c r="AD159">
        <v>14.6884</v>
      </c>
      <c r="AE159">
        <v>14.2143</v>
      </c>
      <c r="AF159">
        <v>14.13</v>
      </c>
      <c r="AG159">
        <v>1.0872999999999999</v>
      </c>
      <c r="AH159">
        <v>112.69</v>
      </c>
      <c r="AI159">
        <v>1.3916999999999999</v>
      </c>
      <c r="AJ159">
        <v>1.3540000000000001</v>
      </c>
      <c r="AK159">
        <v>8.5671999999999997</v>
      </c>
      <c r="AL159">
        <v>0.99839999999999995</v>
      </c>
      <c r="AM159">
        <v>186.63</v>
      </c>
      <c r="AN159">
        <v>88.36</v>
      </c>
      <c r="AO159">
        <v>99</v>
      </c>
      <c r="AP159">
        <v>94.64</v>
      </c>
      <c r="AQ159">
        <v>91.34</v>
      </c>
    </row>
    <row r="160" spans="1:43" x14ac:dyDescent="0.25">
      <c r="A160" s="1">
        <v>42460</v>
      </c>
      <c r="B160">
        <v>0.1983</v>
      </c>
      <c r="C160">
        <v>0.45100000000000001</v>
      </c>
      <c r="D160">
        <v>-0.58899999999999997</v>
      </c>
      <c r="E160">
        <v>-9.4E-2</v>
      </c>
      <c r="F160">
        <v>0.72109999999999996</v>
      </c>
      <c r="G160">
        <v>0.43680000000000002</v>
      </c>
      <c r="H160">
        <v>-0.48899999999999999</v>
      </c>
      <c r="I160">
        <v>-0.19</v>
      </c>
      <c r="J160">
        <v>1.7686999999999999</v>
      </c>
      <c r="K160">
        <v>1.4137</v>
      </c>
      <c r="L160">
        <v>0.152</v>
      </c>
      <c r="M160">
        <v>-3.5000000000000003E-2</v>
      </c>
      <c r="N160">
        <v>13.95</v>
      </c>
      <c r="O160">
        <v>365.74299999999999</v>
      </c>
      <c r="P160">
        <v>94.585999999999999</v>
      </c>
      <c r="Q160">
        <v>116.15779999999999</v>
      </c>
      <c r="R160">
        <v>3.5928</v>
      </c>
      <c r="S160">
        <v>38.340000000000003</v>
      </c>
      <c r="T160">
        <v>39.6</v>
      </c>
      <c r="U160">
        <v>350.46</v>
      </c>
      <c r="V160">
        <v>632.41</v>
      </c>
      <c r="W160">
        <v>1648.12</v>
      </c>
      <c r="X160">
        <v>836.8</v>
      </c>
      <c r="Y160">
        <v>50055.27</v>
      </c>
      <c r="Z160">
        <v>13.9642</v>
      </c>
      <c r="AA160">
        <v>13.918699999999999</v>
      </c>
      <c r="AB160">
        <v>14.2309</v>
      </c>
      <c r="AC160">
        <v>13.894399999999999</v>
      </c>
      <c r="AD160">
        <v>13.7811</v>
      </c>
      <c r="AE160">
        <v>13.802099999999999</v>
      </c>
      <c r="AF160">
        <v>14.13</v>
      </c>
      <c r="AG160">
        <v>1.1379999999999999</v>
      </c>
      <c r="AH160">
        <v>112.57</v>
      </c>
      <c r="AI160">
        <v>1.4359999999999999</v>
      </c>
      <c r="AJ160">
        <v>1.3004</v>
      </c>
      <c r="AK160">
        <v>8.1178000000000008</v>
      </c>
      <c r="AL160">
        <v>0.96179999999999999</v>
      </c>
      <c r="AM160">
        <v>186.63</v>
      </c>
      <c r="AN160">
        <v>97.52</v>
      </c>
      <c r="AO160">
        <v>99.58</v>
      </c>
      <c r="AP160">
        <v>93.93</v>
      </c>
      <c r="AQ160">
        <v>97.93</v>
      </c>
    </row>
    <row r="161" spans="1:43" x14ac:dyDescent="0.25">
      <c r="A161" s="1">
        <v>42489</v>
      </c>
      <c r="B161">
        <v>0.20849999999999999</v>
      </c>
      <c r="C161">
        <v>0.436</v>
      </c>
      <c r="D161">
        <v>-0.61799999999999999</v>
      </c>
      <c r="E161">
        <v>-0.38500000000000001</v>
      </c>
      <c r="F161">
        <v>0.78159999999999996</v>
      </c>
      <c r="G161">
        <v>0.52400000000000002</v>
      </c>
      <c r="H161">
        <v>-0.48499999999999999</v>
      </c>
      <c r="I161">
        <v>-0.24099999999999999</v>
      </c>
      <c r="J161">
        <v>1.8332999999999999</v>
      </c>
      <c r="K161">
        <v>1.595</v>
      </c>
      <c r="L161">
        <v>0.27100000000000002</v>
      </c>
      <c r="M161">
        <v>-8.3000000000000004E-2</v>
      </c>
      <c r="N161">
        <v>15.7</v>
      </c>
      <c r="O161">
        <v>339.75599999999997</v>
      </c>
      <c r="P161">
        <v>93.081999999999994</v>
      </c>
      <c r="Q161">
        <v>114.8381</v>
      </c>
      <c r="R161">
        <v>3.4350999999999998</v>
      </c>
      <c r="S161">
        <v>45.92</v>
      </c>
      <c r="T161">
        <v>48.13</v>
      </c>
      <c r="U161">
        <v>367.1</v>
      </c>
      <c r="V161">
        <v>682.39</v>
      </c>
      <c r="W161">
        <v>1670.8</v>
      </c>
      <c r="X161">
        <v>840.19</v>
      </c>
      <c r="Y161">
        <v>53910.51</v>
      </c>
      <c r="Z161">
        <v>12.4838</v>
      </c>
      <c r="AA161">
        <v>12.429399999999999</v>
      </c>
      <c r="AB161">
        <v>12.6487</v>
      </c>
      <c r="AC161">
        <v>12.5015</v>
      </c>
      <c r="AD161">
        <v>12.632400000000001</v>
      </c>
      <c r="AE161">
        <v>13.2</v>
      </c>
      <c r="AF161">
        <v>14.13</v>
      </c>
      <c r="AG161">
        <v>1.1451</v>
      </c>
      <c r="AH161">
        <v>106.5</v>
      </c>
      <c r="AI161">
        <v>1.4612000000000001</v>
      </c>
      <c r="AJ161">
        <v>1.2556</v>
      </c>
      <c r="AK161">
        <v>8.0324000000000009</v>
      </c>
      <c r="AL161">
        <v>0.95989999999999998</v>
      </c>
      <c r="AM161">
        <v>186.63</v>
      </c>
      <c r="AN161">
        <v>96.73</v>
      </c>
      <c r="AO161">
        <v>99.6</v>
      </c>
      <c r="AP161">
        <v>93.88</v>
      </c>
      <c r="AQ161">
        <v>94.73</v>
      </c>
    </row>
    <row r="162" spans="1:43" x14ac:dyDescent="0.25">
      <c r="A162" s="1">
        <v>42521</v>
      </c>
      <c r="B162">
        <v>0.28489999999999999</v>
      </c>
      <c r="C162">
        <v>0.46</v>
      </c>
      <c r="D162">
        <v>-0.59699999999999998</v>
      </c>
      <c r="E162">
        <v>-0.29399999999999998</v>
      </c>
      <c r="F162">
        <v>0.877</v>
      </c>
      <c r="G162">
        <v>0.42759999999999998</v>
      </c>
      <c r="H162">
        <v>-0.51700000000000002</v>
      </c>
      <c r="I162">
        <v>-0.248</v>
      </c>
      <c r="J162">
        <v>1.8458000000000001</v>
      </c>
      <c r="K162">
        <v>1.4279999999999999</v>
      </c>
      <c r="L162">
        <v>0.13800000000000001</v>
      </c>
      <c r="M162">
        <v>-0.12</v>
      </c>
      <c r="N162">
        <v>14.19</v>
      </c>
      <c r="O162">
        <v>362.95299999999997</v>
      </c>
      <c r="P162">
        <v>95.891000000000005</v>
      </c>
      <c r="Q162">
        <v>116.7221</v>
      </c>
      <c r="R162">
        <v>3.6109</v>
      </c>
      <c r="S162">
        <v>49.1</v>
      </c>
      <c r="T162">
        <v>49.69</v>
      </c>
      <c r="U162">
        <v>361.29</v>
      </c>
      <c r="V162">
        <v>674.03</v>
      </c>
      <c r="W162">
        <v>1674.61</v>
      </c>
      <c r="X162">
        <v>807.45</v>
      </c>
      <c r="Y162">
        <v>48471.71</v>
      </c>
      <c r="Z162">
        <v>12.941599999999999</v>
      </c>
      <c r="AA162">
        <v>12.873799999999999</v>
      </c>
      <c r="AB162">
        <v>13.156499999999999</v>
      </c>
      <c r="AC162">
        <v>12.7965</v>
      </c>
      <c r="AD162">
        <v>12.775499999999999</v>
      </c>
      <c r="AE162">
        <v>13.163600000000001</v>
      </c>
      <c r="AF162">
        <v>14.13</v>
      </c>
      <c r="AG162">
        <v>1.1132</v>
      </c>
      <c r="AH162">
        <v>110.73</v>
      </c>
      <c r="AI162">
        <v>1.4482999999999999</v>
      </c>
      <c r="AJ162">
        <v>1.3092999999999999</v>
      </c>
      <c r="AK162">
        <v>8.3332999999999995</v>
      </c>
      <c r="AL162">
        <v>0.99390000000000001</v>
      </c>
      <c r="AM162">
        <v>186.63</v>
      </c>
      <c r="AN162">
        <v>100.51</v>
      </c>
      <c r="AO162">
        <v>99.99</v>
      </c>
      <c r="AP162">
        <v>93.58</v>
      </c>
      <c r="AQ162">
        <v>92.91</v>
      </c>
    </row>
    <row r="163" spans="1:43" x14ac:dyDescent="0.25">
      <c r="A163" s="1">
        <v>42551</v>
      </c>
      <c r="B163">
        <v>0.25869999999999999</v>
      </c>
      <c r="C163">
        <v>0.34399999999999997</v>
      </c>
      <c r="D163">
        <v>-0.68200000000000005</v>
      </c>
      <c r="E163">
        <v>-0.28000000000000003</v>
      </c>
      <c r="F163">
        <v>0.58169999999999999</v>
      </c>
      <c r="G163">
        <v>9.0800000000000006E-2</v>
      </c>
      <c r="H163">
        <v>-0.66300000000000003</v>
      </c>
      <c r="I163">
        <v>-0.3</v>
      </c>
      <c r="J163">
        <v>1.4697</v>
      </c>
      <c r="K163">
        <v>0.86450000000000005</v>
      </c>
      <c r="L163">
        <v>-0.13100000000000001</v>
      </c>
      <c r="M163">
        <v>-0.222</v>
      </c>
      <c r="N163">
        <v>15.63</v>
      </c>
      <c r="O163">
        <v>316.97199999999998</v>
      </c>
      <c r="P163">
        <v>96.143000000000001</v>
      </c>
      <c r="Q163">
        <v>117.6835</v>
      </c>
      <c r="R163">
        <v>3.2126000000000001</v>
      </c>
      <c r="S163">
        <v>48.33</v>
      </c>
      <c r="T163">
        <v>49.68</v>
      </c>
      <c r="U163">
        <v>362.45</v>
      </c>
      <c r="V163">
        <v>683.13</v>
      </c>
      <c r="W163">
        <v>1653.23</v>
      </c>
      <c r="X163">
        <v>834.1</v>
      </c>
      <c r="Y163">
        <v>51526.93</v>
      </c>
      <c r="Z163">
        <v>12.209199999999999</v>
      </c>
      <c r="AA163">
        <v>12.1615</v>
      </c>
      <c r="AB163">
        <v>12.3629</v>
      </c>
      <c r="AC163">
        <v>12.3271</v>
      </c>
      <c r="AD163">
        <v>12.6058</v>
      </c>
      <c r="AE163">
        <v>13.34</v>
      </c>
      <c r="AF163">
        <v>14.13</v>
      </c>
      <c r="AG163">
        <v>1.1106</v>
      </c>
      <c r="AH163">
        <v>103.2</v>
      </c>
      <c r="AI163">
        <v>1.3310999999999999</v>
      </c>
      <c r="AJ163">
        <v>1.2924</v>
      </c>
      <c r="AK163">
        <v>8.4596999999999998</v>
      </c>
      <c r="AL163">
        <v>0.97599999999999998</v>
      </c>
      <c r="AM163">
        <v>186.63</v>
      </c>
      <c r="AN163">
        <v>102.15</v>
      </c>
      <c r="AO163">
        <v>98.64</v>
      </c>
      <c r="AP163">
        <v>93.78</v>
      </c>
      <c r="AQ163">
        <v>94.23</v>
      </c>
    </row>
    <row r="164" spans="1:43" x14ac:dyDescent="0.25">
      <c r="A164" s="1">
        <v>42580</v>
      </c>
      <c r="B164">
        <v>0.25359999999999999</v>
      </c>
      <c r="C164">
        <v>0.318</v>
      </c>
      <c r="D164">
        <v>-0.74199999999999999</v>
      </c>
      <c r="E164">
        <v>-0.29399999999999998</v>
      </c>
      <c r="F164">
        <v>0.65539999999999998</v>
      </c>
      <c r="G164">
        <v>0.1042</v>
      </c>
      <c r="H164">
        <v>-0.63200000000000001</v>
      </c>
      <c r="I164">
        <v>-0.26</v>
      </c>
      <c r="J164">
        <v>1.4531000000000001</v>
      </c>
      <c r="K164">
        <v>0.68389999999999995</v>
      </c>
      <c r="L164">
        <v>-0.121</v>
      </c>
      <c r="M164">
        <v>-0.19500000000000001</v>
      </c>
      <c r="N164">
        <v>11.87</v>
      </c>
      <c r="O164">
        <v>291.178</v>
      </c>
      <c r="P164">
        <v>95.53</v>
      </c>
      <c r="Q164">
        <v>117.6327</v>
      </c>
      <c r="R164">
        <v>3.2490999999999999</v>
      </c>
      <c r="S164">
        <v>41.6</v>
      </c>
      <c r="T164">
        <v>42.46</v>
      </c>
      <c r="U164">
        <v>344.35</v>
      </c>
      <c r="V164">
        <v>703.22</v>
      </c>
      <c r="W164">
        <v>1721.79</v>
      </c>
      <c r="X164">
        <v>873.47</v>
      </c>
      <c r="Y164">
        <v>57308.21</v>
      </c>
      <c r="Z164">
        <v>11.9937</v>
      </c>
      <c r="AA164">
        <v>11.9922</v>
      </c>
      <c r="AB164">
        <v>12.0753</v>
      </c>
      <c r="AC164">
        <v>12.151400000000001</v>
      </c>
      <c r="AD164">
        <v>12.481299999999999</v>
      </c>
      <c r="AE164">
        <v>13.2562</v>
      </c>
      <c r="AF164">
        <v>14.13</v>
      </c>
      <c r="AG164">
        <v>1.1173999999999999</v>
      </c>
      <c r="AH164">
        <v>102.06</v>
      </c>
      <c r="AI164">
        <v>1.323</v>
      </c>
      <c r="AJ164">
        <v>1.3029999999999999</v>
      </c>
      <c r="AK164">
        <v>8.5569000000000006</v>
      </c>
      <c r="AL164">
        <v>0.96950000000000003</v>
      </c>
      <c r="AM164">
        <v>186.63</v>
      </c>
      <c r="AN164">
        <v>104.43</v>
      </c>
      <c r="AO164">
        <v>99.32</v>
      </c>
      <c r="AP164">
        <v>93.52</v>
      </c>
      <c r="AQ164">
        <v>95.2</v>
      </c>
    </row>
    <row r="165" spans="1:43" x14ac:dyDescent="0.25">
      <c r="A165" s="1">
        <v>42613</v>
      </c>
      <c r="B165">
        <v>0.32979999999999998</v>
      </c>
      <c r="C165">
        <v>0.23400000000000001</v>
      </c>
      <c r="D165">
        <v>-0.81899999999999995</v>
      </c>
      <c r="E165">
        <v>-0.252</v>
      </c>
      <c r="F165">
        <v>0.80530000000000002</v>
      </c>
      <c r="G165">
        <v>0.14019999999999999</v>
      </c>
      <c r="H165">
        <v>-0.625</v>
      </c>
      <c r="I165">
        <v>-0.20100000000000001</v>
      </c>
      <c r="J165">
        <v>1.58</v>
      </c>
      <c r="K165">
        <v>0.64180000000000004</v>
      </c>
      <c r="L165">
        <v>-6.6000000000000003E-2</v>
      </c>
      <c r="M165">
        <v>-7.0999999999999994E-2</v>
      </c>
      <c r="N165">
        <v>13.42</v>
      </c>
      <c r="O165">
        <v>259.59899999999999</v>
      </c>
      <c r="P165">
        <v>96.022000000000006</v>
      </c>
      <c r="Q165">
        <v>116.74590000000001</v>
      </c>
      <c r="R165">
        <v>3.2263000000000002</v>
      </c>
      <c r="S165">
        <v>44.7</v>
      </c>
      <c r="T165">
        <v>47.04</v>
      </c>
      <c r="U165">
        <v>338.42</v>
      </c>
      <c r="V165">
        <v>711.08</v>
      </c>
      <c r="W165">
        <v>1719.52</v>
      </c>
      <c r="X165">
        <v>893.68</v>
      </c>
      <c r="Y165">
        <v>57901.11</v>
      </c>
      <c r="Z165">
        <v>12.1127</v>
      </c>
      <c r="AA165">
        <v>12.07</v>
      </c>
      <c r="AB165">
        <v>12.266</v>
      </c>
      <c r="AC165">
        <v>12.127700000000001</v>
      </c>
      <c r="AD165">
        <v>12.3688</v>
      </c>
      <c r="AE165">
        <v>13.1021</v>
      </c>
      <c r="AF165">
        <v>14.13</v>
      </c>
      <c r="AG165">
        <v>1.1157999999999999</v>
      </c>
      <c r="AH165">
        <v>103.43</v>
      </c>
      <c r="AI165">
        <v>1.3138000000000001</v>
      </c>
      <c r="AJ165">
        <v>1.3105</v>
      </c>
      <c r="AK165">
        <v>8.5604999999999993</v>
      </c>
      <c r="AL165">
        <v>0.9839</v>
      </c>
      <c r="AM165">
        <v>186.63</v>
      </c>
      <c r="AN165">
        <v>108.37</v>
      </c>
      <c r="AO165">
        <v>97.5</v>
      </c>
      <c r="AP165">
        <v>93.23</v>
      </c>
      <c r="AQ165">
        <v>96.17</v>
      </c>
    </row>
    <row r="166" spans="1:43" x14ac:dyDescent="0.25">
      <c r="A166" s="1">
        <v>42643</v>
      </c>
      <c r="B166">
        <v>0.27389999999999998</v>
      </c>
      <c r="C166">
        <v>0.23699999999999999</v>
      </c>
      <c r="D166">
        <v>-0.79800000000000004</v>
      </c>
      <c r="E166">
        <v>-0.379</v>
      </c>
      <c r="F166">
        <v>0.76190000000000002</v>
      </c>
      <c r="G166">
        <v>9.9699999999999997E-2</v>
      </c>
      <c r="H166">
        <v>-0.69299999999999995</v>
      </c>
      <c r="I166">
        <v>-0.29199999999999998</v>
      </c>
      <c r="J166">
        <v>1.5944</v>
      </c>
      <c r="K166">
        <v>0.74529999999999996</v>
      </c>
      <c r="L166">
        <v>-0.122</v>
      </c>
      <c r="M166">
        <v>-9.4E-2</v>
      </c>
      <c r="N166">
        <v>13.29</v>
      </c>
      <c r="O166">
        <v>273.00400000000002</v>
      </c>
      <c r="P166">
        <v>95.462999999999994</v>
      </c>
      <c r="Q166">
        <v>118.2525</v>
      </c>
      <c r="R166">
        <v>3.2612999999999999</v>
      </c>
      <c r="S166">
        <v>48.24</v>
      </c>
      <c r="T166">
        <v>49.06</v>
      </c>
      <c r="U166">
        <v>329.97</v>
      </c>
      <c r="V166">
        <v>720.15</v>
      </c>
      <c r="W166">
        <v>1725.67</v>
      </c>
      <c r="X166">
        <v>903.46</v>
      </c>
      <c r="Y166">
        <v>58367.05</v>
      </c>
      <c r="Z166">
        <v>11.655799999999999</v>
      </c>
      <c r="AA166">
        <v>11.596399999999999</v>
      </c>
      <c r="AB166">
        <v>11.78</v>
      </c>
      <c r="AC166">
        <v>11.58</v>
      </c>
      <c r="AD166">
        <v>11.722799999999999</v>
      </c>
      <c r="AE166">
        <v>12.4741</v>
      </c>
      <c r="AF166">
        <v>14.13</v>
      </c>
      <c r="AG166">
        <v>1.1234999999999999</v>
      </c>
      <c r="AH166">
        <v>101.35</v>
      </c>
      <c r="AI166">
        <v>1.2971999999999999</v>
      </c>
      <c r="AJ166">
        <v>1.3127</v>
      </c>
      <c r="AK166">
        <v>8.5739000000000001</v>
      </c>
      <c r="AL166">
        <v>0.97140000000000004</v>
      </c>
      <c r="AM166">
        <v>186.63</v>
      </c>
      <c r="AN166">
        <v>105.65</v>
      </c>
      <c r="AO166">
        <v>98.52</v>
      </c>
      <c r="AP166">
        <v>93.29</v>
      </c>
      <c r="AQ166">
        <v>93.38</v>
      </c>
    </row>
    <row r="167" spans="1:43" x14ac:dyDescent="0.25">
      <c r="A167" s="1">
        <v>42674</v>
      </c>
      <c r="B167">
        <v>0.29930000000000001</v>
      </c>
      <c r="C167">
        <v>0.17299999999999999</v>
      </c>
      <c r="D167">
        <v>-0.85199999999999998</v>
      </c>
      <c r="E167">
        <v>-0.32700000000000001</v>
      </c>
      <c r="F167">
        <v>0.84089999999999998</v>
      </c>
      <c r="G167">
        <v>0.25700000000000001</v>
      </c>
      <c r="H167">
        <v>-0.626</v>
      </c>
      <c r="I167">
        <v>-0.24399999999999999</v>
      </c>
      <c r="J167">
        <v>1.8254999999999999</v>
      </c>
      <c r="K167">
        <v>1.2434000000000001</v>
      </c>
      <c r="L167">
        <v>0.161</v>
      </c>
      <c r="M167">
        <v>-5.2999999999999999E-2</v>
      </c>
      <c r="N167">
        <v>17.059999999999999</v>
      </c>
      <c r="O167">
        <v>273.95999999999998</v>
      </c>
      <c r="P167">
        <v>98.444999999999993</v>
      </c>
      <c r="Q167">
        <v>118.2488</v>
      </c>
      <c r="R167">
        <v>3.1939000000000002</v>
      </c>
      <c r="S167">
        <v>46.86</v>
      </c>
      <c r="T167">
        <v>48.3</v>
      </c>
      <c r="U167">
        <v>329.15</v>
      </c>
      <c r="V167">
        <v>713.27</v>
      </c>
      <c r="W167">
        <v>1690.92</v>
      </c>
      <c r="X167">
        <v>905.09</v>
      </c>
      <c r="Y167">
        <v>64924.52</v>
      </c>
      <c r="Z167">
        <v>11.3825</v>
      </c>
      <c r="AA167">
        <v>11.326599999999999</v>
      </c>
      <c r="AB167">
        <v>11.540699999999999</v>
      </c>
      <c r="AC167">
        <v>11.3718</v>
      </c>
      <c r="AD167">
        <v>11.597300000000001</v>
      </c>
      <c r="AE167">
        <v>12.401400000000001</v>
      </c>
      <c r="AF167">
        <v>13.88</v>
      </c>
      <c r="AG167">
        <v>1.0981000000000001</v>
      </c>
      <c r="AH167">
        <v>104.82</v>
      </c>
      <c r="AI167">
        <v>1.2242</v>
      </c>
      <c r="AJ167">
        <v>1.3409</v>
      </c>
      <c r="AK167">
        <v>9.0320999999999998</v>
      </c>
      <c r="AL167">
        <v>0.98899999999999999</v>
      </c>
      <c r="AM167">
        <v>186.63</v>
      </c>
      <c r="AN167">
        <v>105.08</v>
      </c>
      <c r="AO167">
        <v>97.15</v>
      </c>
      <c r="AP167">
        <v>92.91</v>
      </c>
      <c r="AQ167">
        <v>92.61</v>
      </c>
    </row>
    <row r="168" spans="1:43" x14ac:dyDescent="0.25">
      <c r="A168" s="1">
        <v>42704</v>
      </c>
      <c r="B168">
        <v>0.47710000000000002</v>
      </c>
      <c r="C168">
        <v>0.222</v>
      </c>
      <c r="D168">
        <v>-0.81399999999999995</v>
      </c>
      <c r="E168">
        <v>-0.36599999999999999</v>
      </c>
      <c r="F168">
        <v>1.113</v>
      </c>
      <c r="G168">
        <v>0.1222</v>
      </c>
      <c r="H168">
        <v>-0.73499999999999999</v>
      </c>
      <c r="I168">
        <v>-0.16200000000000001</v>
      </c>
      <c r="J168">
        <v>2.3809</v>
      </c>
      <c r="K168">
        <v>1.4153</v>
      </c>
      <c r="L168">
        <v>0.27300000000000002</v>
      </c>
      <c r="M168">
        <v>1.9E-2</v>
      </c>
      <c r="N168">
        <v>13.33</v>
      </c>
      <c r="O168">
        <v>297.31200000000001</v>
      </c>
      <c r="P168">
        <v>101.5</v>
      </c>
      <c r="Q168">
        <v>121.6163</v>
      </c>
      <c r="R168">
        <v>3.3856999999999999</v>
      </c>
      <c r="S168">
        <v>49.44</v>
      </c>
      <c r="T168">
        <v>50.47</v>
      </c>
      <c r="U168">
        <v>334.39</v>
      </c>
      <c r="V168">
        <v>800.59</v>
      </c>
      <c r="W168">
        <v>1712.09</v>
      </c>
      <c r="X168">
        <v>862.83</v>
      </c>
      <c r="Y168">
        <v>61906.36</v>
      </c>
      <c r="Z168">
        <v>11.945399999999999</v>
      </c>
      <c r="AA168">
        <v>11.859500000000001</v>
      </c>
      <c r="AB168">
        <v>12.067500000000001</v>
      </c>
      <c r="AC168">
        <v>11.6388</v>
      </c>
      <c r="AD168">
        <v>11.5885</v>
      </c>
      <c r="AE168">
        <v>12.148999999999999</v>
      </c>
      <c r="AF168">
        <v>13.88</v>
      </c>
      <c r="AG168">
        <v>1.0589</v>
      </c>
      <c r="AH168">
        <v>114.46</v>
      </c>
      <c r="AI168">
        <v>1.2505999999999999</v>
      </c>
      <c r="AJ168">
        <v>1.3436999999999999</v>
      </c>
      <c r="AK168">
        <v>9.2303999999999995</v>
      </c>
      <c r="AL168">
        <v>1.0173000000000001</v>
      </c>
      <c r="AM168">
        <v>186.63</v>
      </c>
      <c r="AN168">
        <v>100.77</v>
      </c>
      <c r="AO168">
        <v>98.11</v>
      </c>
      <c r="AP168">
        <v>92.95</v>
      </c>
      <c r="AQ168">
        <v>92.4</v>
      </c>
    </row>
    <row r="169" spans="1:43" x14ac:dyDescent="0.25">
      <c r="A169" s="1">
        <v>42734</v>
      </c>
      <c r="B169">
        <v>0.49740000000000001</v>
      </c>
      <c r="C169">
        <v>6.0999999999999999E-2</v>
      </c>
      <c r="D169">
        <v>-0.98599999999999999</v>
      </c>
      <c r="E169">
        <v>-0.42</v>
      </c>
      <c r="F169">
        <v>1.1882999999999999</v>
      </c>
      <c r="G169">
        <v>4.4299999999999999E-2</v>
      </c>
      <c r="H169">
        <v>-0.8</v>
      </c>
      <c r="I169">
        <v>-0.185</v>
      </c>
      <c r="J169">
        <v>2.4443000000000001</v>
      </c>
      <c r="K169">
        <v>1.2352000000000001</v>
      </c>
      <c r="L169">
        <v>0.20399999999999999</v>
      </c>
      <c r="M169">
        <v>4.1000000000000002E-2</v>
      </c>
      <c r="N169">
        <v>14.04</v>
      </c>
      <c r="O169">
        <v>280.75799999999998</v>
      </c>
      <c r="P169">
        <v>102.21</v>
      </c>
      <c r="Q169">
        <v>123.26479999999999</v>
      </c>
      <c r="R169">
        <v>3.25</v>
      </c>
      <c r="S169">
        <v>53.72</v>
      </c>
      <c r="T169">
        <v>56.82</v>
      </c>
      <c r="U169">
        <v>338.75</v>
      </c>
      <c r="V169">
        <v>803.85</v>
      </c>
      <c r="W169">
        <v>1751.22</v>
      </c>
      <c r="X169">
        <v>862.27</v>
      </c>
      <c r="Y169">
        <v>60227.28</v>
      </c>
      <c r="Z169">
        <v>11.609400000000001</v>
      </c>
      <c r="AA169">
        <v>11.4923</v>
      </c>
      <c r="AB169">
        <v>11.66</v>
      </c>
      <c r="AC169">
        <v>11.2019</v>
      </c>
      <c r="AD169">
        <v>11.051600000000001</v>
      </c>
      <c r="AE169">
        <v>11.5357</v>
      </c>
      <c r="AF169">
        <v>13.63</v>
      </c>
      <c r="AG169">
        <v>1.0517000000000001</v>
      </c>
      <c r="AH169">
        <v>116.96</v>
      </c>
      <c r="AI169">
        <v>1.234</v>
      </c>
      <c r="AJ169">
        <v>1.3441000000000001</v>
      </c>
      <c r="AK169">
        <v>9.1060999999999996</v>
      </c>
      <c r="AL169">
        <v>1.0189999999999999</v>
      </c>
      <c r="AM169">
        <v>186.63</v>
      </c>
      <c r="AN169">
        <v>90</v>
      </c>
      <c r="AO169">
        <v>99.74</v>
      </c>
      <c r="AP169">
        <v>92.69</v>
      </c>
      <c r="AQ169">
        <v>93.43</v>
      </c>
    </row>
    <row r="170" spans="1:43" x14ac:dyDescent="0.25">
      <c r="A170" s="1">
        <v>42766</v>
      </c>
      <c r="B170">
        <v>0.51270000000000004</v>
      </c>
      <c r="C170">
        <v>0.217</v>
      </c>
      <c r="D170">
        <v>-0.82799999999999996</v>
      </c>
      <c r="E170">
        <v>-0.27900000000000003</v>
      </c>
      <c r="F170">
        <v>1.2043999999999999</v>
      </c>
      <c r="G170">
        <v>0.12920000000000001</v>
      </c>
      <c r="H170">
        <v>-0.71</v>
      </c>
      <c r="I170">
        <v>-0.20899999999999999</v>
      </c>
      <c r="J170">
        <v>2.4531000000000001</v>
      </c>
      <c r="K170">
        <v>1.4148000000000001</v>
      </c>
      <c r="L170">
        <v>0.434</v>
      </c>
      <c r="M170">
        <v>0.08</v>
      </c>
      <c r="N170">
        <v>11.99</v>
      </c>
      <c r="O170">
        <v>250.93799999999999</v>
      </c>
      <c r="P170">
        <v>99.512</v>
      </c>
      <c r="Q170">
        <v>123.99420000000001</v>
      </c>
      <c r="R170">
        <v>3.1486000000000001</v>
      </c>
      <c r="S170">
        <v>52.81</v>
      </c>
      <c r="T170">
        <v>55.7</v>
      </c>
      <c r="U170">
        <v>343.93</v>
      </c>
      <c r="V170">
        <v>844.78</v>
      </c>
      <c r="W170">
        <v>1792.4</v>
      </c>
      <c r="X170">
        <v>909.23</v>
      </c>
      <c r="Y170">
        <v>64670.78</v>
      </c>
      <c r="Z170">
        <v>10.9658</v>
      </c>
      <c r="AA170">
        <v>10.8367</v>
      </c>
      <c r="AB170">
        <v>11.1113</v>
      </c>
      <c r="AC170">
        <v>10.5375</v>
      </c>
      <c r="AD170">
        <v>10.379099999999999</v>
      </c>
      <c r="AE170">
        <v>10.8057</v>
      </c>
      <c r="AF170">
        <v>12.88</v>
      </c>
      <c r="AG170">
        <v>1.0798000000000001</v>
      </c>
      <c r="AH170">
        <v>112.8</v>
      </c>
      <c r="AI170">
        <v>1.2579</v>
      </c>
      <c r="AJ170">
        <v>1.3029999999999999</v>
      </c>
      <c r="AK170">
        <v>8.7423999999999999</v>
      </c>
      <c r="AL170">
        <v>0.98919999999999997</v>
      </c>
      <c r="AM170">
        <v>186.63</v>
      </c>
      <c r="AN170">
        <v>90.76</v>
      </c>
      <c r="AO170">
        <v>100.45</v>
      </c>
      <c r="AP170">
        <v>93.38</v>
      </c>
      <c r="AQ170">
        <v>90.02</v>
      </c>
    </row>
    <row r="171" spans="1:43" x14ac:dyDescent="0.25">
      <c r="A171" s="1">
        <v>42794</v>
      </c>
      <c r="B171">
        <v>0.60419999999999996</v>
      </c>
      <c r="C171">
        <v>0.187</v>
      </c>
      <c r="D171">
        <v>-0.92600000000000005</v>
      </c>
      <c r="E171">
        <v>-0.28499999999999998</v>
      </c>
      <c r="F171">
        <v>1.2601</v>
      </c>
      <c r="G171">
        <v>9.4399999999999998E-2</v>
      </c>
      <c r="H171">
        <v>-0.90900000000000003</v>
      </c>
      <c r="I171">
        <v>-0.27800000000000002</v>
      </c>
      <c r="J171">
        <v>2.3898999999999999</v>
      </c>
      <c r="K171">
        <v>1.1494</v>
      </c>
      <c r="L171">
        <v>0.20599999999999999</v>
      </c>
      <c r="M171">
        <v>4.8000000000000001E-2</v>
      </c>
      <c r="N171">
        <v>12.92</v>
      </c>
      <c r="O171">
        <v>223.73699999999999</v>
      </c>
      <c r="P171">
        <v>101.12</v>
      </c>
      <c r="Q171">
        <v>121.369</v>
      </c>
      <c r="R171">
        <v>3.1097000000000001</v>
      </c>
      <c r="S171">
        <v>54.01</v>
      </c>
      <c r="T171">
        <v>55.59</v>
      </c>
      <c r="U171">
        <v>345.75</v>
      </c>
      <c r="V171">
        <v>834.14</v>
      </c>
      <c r="W171">
        <v>1838.7</v>
      </c>
      <c r="X171">
        <v>936.37</v>
      </c>
      <c r="Y171">
        <v>66662.100000000006</v>
      </c>
      <c r="Z171">
        <v>10.2828</v>
      </c>
      <c r="AA171">
        <v>10.2346</v>
      </c>
      <c r="AB171">
        <v>10.430999999999999</v>
      </c>
      <c r="AC171">
        <v>10.015499999999999</v>
      </c>
      <c r="AD171">
        <v>9.8749000000000002</v>
      </c>
      <c r="AE171">
        <v>10.168100000000001</v>
      </c>
      <c r="AF171">
        <v>12.13</v>
      </c>
      <c r="AG171">
        <v>1.0576000000000001</v>
      </c>
      <c r="AH171">
        <v>112.77</v>
      </c>
      <c r="AI171">
        <v>1.238</v>
      </c>
      <c r="AJ171">
        <v>1.3301000000000001</v>
      </c>
      <c r="AK171">
        <v>9.0365000000000002</v>
      </c>
      <c r="AL171">
        <v>1.0058</v>
      </c>
      <c r="AM171">
        <v>186.63</v>
      </c>
      <c r="AN171">
        <v>88.41</v>
      </c>
      <c r="AO171">
        <v>101.5</v>
      </c>
      <c r="AP171">
        <v>94.58</v>
      </c>
      <c r="AQ171">
        <v>90.36</v>
      </c>
    </row>
    <row r="172" spans="1:43" x14ac:dyDescent="0.25">
      <c r="A172" s="1">
        <v>42825</v>
      </c>
      <c r="B172">
        <v>0.75160000000000005</v>
      </c>
      <c r="C172">
        <v>0.17</v>
      </c>
      <c r="D172">
        <v>-0.91500000000000004</v>
      </c>
      <c r="E172">
        <v>-0.19500000000000001</v>
      </c>
      <c r="F172">
        <v>1.254</v>
      </c>
      <c r="G172">
        <v>0.1179</v>
      </c>
      <c r="H172">
        <v>-0.75</v>
      </c>
      <c r="I172">
        <v>-0.19500000000000001</v>
      </c>
      <c r="J172">
        <v>2.3874</v>
      </c>
      <c r="K172">
        <v>1.1383000000000001</v>
      </c>
      <c r="L172">
        <v>0.32500000000000001</v>
      </c>
      <c r="M172">
        <v>6.5000000000000002E-2</v>
      </c>
      <c r="N172">
        <v>12.37</v>
      </c>
      <c r="O172">
        <v>226.435</v>
      </c>
      <c r="P172">
        <v>100.35</v>
      </c>
      <c r="Q172">
        <v>119.7403</v>
      </c>
      <c r="R172">
        <v>3.1223999999999998</v>
      </c>
      <c r="S172">
        <v>50.6</v>
      </c>
      <c r="T172">
        <v>52.83</v>
      </c>
      <c r="U172">
        <v>333.02</v>
      </c>
      <c r="V172">
        <v>867.41</v>
      </c>
      <c r="W172">
        <v>1853.69</v>
      </c>
      <c r="X172">
        <v>958.37</v>
      </c>
      <c r="Y172">
        <v>64984.07</v>
      </c>
      <c r="Z172">
        <v>10.1494</v>
      </c>
      <c r="AA172">
        <v>10.0549</v>
      </c>
      <c r="AB172">
        <v>10.3088</v>
      </c>
      <c r="AC172">
        <v>9.7562999999999995</v>
      </c>
      <c r="AD172">
        <v>9.5654000000000003</v>
      </c>
      <c r="AE172">
        <v>9.6679999999999993</v>
      </c>
      <c r="AF172">
        <v>12.13</v>
      </c>
      <c r="AG172">
        <v>1.0651999999999999</v>
      </c>
      <c r="AH172">
        <v>111.39</v>
      </c>
      <c r="AI172">
        <v>1.2549999999999999</v>
      </c>
      <c r="AJ172">
        <v>1.3318000000000001</v>
      </c>
      <c r="AK172">
        <v>8.9707000000000008</v>
      </c>
      <c r="AL172">
        <v>1.0025999999999999</v>
      </c>
      <c r="AM172">
        <v>186.63</v>
      </c>
      <c r="AN172">
        <v>99.55</v>
      </c>
      <c r="AO172">
        <v>99.99</v>
      </c>
      <c r="AP172">
        <v>94.54</v>
      </c>
      <c r="AQ172">
        <v>99.05</v>
      </c>
    </row>
    <row r="173" spans="1:43" x14ac:dyDescent="0.25">
      <c r="A173" s="1">
        <v>42853</v>
      </c>
      <c r="B173">
        <v>0.7923</v>
      </c>
      <c r="C173">
        <v>0.20899999999999999</v>
      </c>
      <c r="D173">
        <v>-0.89800000000000002</v>
      </c>
      <c r="E173">
        <v>-0.17599999999999999</v>
      </c>
      <c r="F173">
        <v>1.2619</v>
      </c>
      <c r="G173">
        <v>7.1400000000000005E-2</v>
      </c>
      <c r="H173">
        <v>-0.74</v>
      </c>
      <c r="I173">
        <v>-0.214</v>
      </c>
      <c r="J173">
        <v>2.2801999999999998</v>
      </c>
      <c r="K173">
        <v>1.0833999999999999</v>
      </c>
      <c r="L173">
        <v>0.315</v>
      </c>
      <c r="M173">
        <v>0.01</v>
      </c>
      <c r="N173">
        <v>10.82</v>
      </c>
      <c r="O173">
        <v>217.696</v>
      </c>
      <c r="P173">
        <v>99.05</v>
      </c>
      <c r="Q173">
        <v>118.55110000000001</v>
      </c>
      <c r="R173">
        <v>3.1764999999999999</v>
      </c>
      <c r="S173">
        <v>49.33</v>
      </c>
      <c r="T173">
        <v>51.73</v>
      </c>
      <c r="U173">
        <v>330.75</v>
      </c>
      <c r="V173">
        <v>828.85</v>
      </c>
      <c r="W173">
        <v>1878.28</v>
      </c>
      <c r="X173">
        <v>977.96</v>
      </c>
      <c r="Y173">
        <v>65403.25</v>
      </c>
      <c r="Z173">
        <v>10.3523</v>
      </c>
      <c r="AA173">
        <v>10.225300000000001</v>
      </c>
      <c r="AB173">
        <v>10.591100000000001</v>
      </c>
      <c r="AC173">
        <v>9.8503000000000007</v>
      </c>
      <c r="AD173">
        <v>9.5031999999999996</v>
      </c>
      <c r="AE173">
        <v>9.2899999999999991</v>
      </c>
      <c r="AF173">
        <v>11.13</v>
      </c>
      <c r="AG173">
        <v>1.0894999999999999</v>
      </c>
      <c r="AH173">
        <v>111.49</v>
      </c>
      <c r="AI173">
        <v>1.2950999999999999</v>
      </c>
      <c r="AJ173">
        <v>1.3653</v>
      </c>
      <c r="AK173">
        <v>8.8535000000000004</v>
      </c>
      <c r="AL173">
        <v>0.99460000000000004</v>
      </c>
      <c r="AM173">
        <v>186.63</v>
      </c>
      <c r="AN173">
        <v>92.42</v>
      </c>
      <c r="AO173">
        <v>99.95</v>
      </c>
      <c r="AP173">
        <v>94.4</v>
      </c>
      <c r="AQ173">
        <v>93.2</v>
      </c>
    </row>
    <row r="174" spans="1:43" x14ac:dyDescent="0.25">
      <c r="A174" s="1">
        <v>42886</v>
      </c>
      <c r="B174">
        <v>0.97060000000000002</v>
      </c>
      <c r="C174">
        <v>0.19</v>
      </c>
      <c r="D174">
        <v>-0.93700000000000006</v>
      </c>
      <c r="E174">
        <v>-0.129</v>
      </c>
      <c r="F174">
        <v>1.2818000000000001</v>
      </c>
      <c r="G174">
        <v>0.12429999999999999</v>
      </c>
      <c r="H174">
        <v>-0.72299999999999998</v>
      </c>
      <c r="I174">
        <v>-0.16300000000000001</v>
      </c>
      <c r="J174">
        <v>2.2027999999999999</v>
      </c>
      <c r="K174">
        <v>1.0455000000000001</v>
      </c>
      <c r="L174">
        <v>0.30199999999999999</v>
      </c>
      <c r="M174">
        <v>4.1000000000000002E-2</v>
      </c>
      <c r="N174">
        <v>10.41</v>
      </c>
      <c r="O174">
        <v>235.89500000000001</v>
      </c>
      <c r="P174">
        <v>96.921999999999997</v>
      </c>
      <c r="Q174">
        <v>118.52630000000001</v>
      </c>
      <c r="R174">
        <v>3.2265999999999999</v>
      </c>
      <c r="S174">
        <v>48.32</v>
      </c>
      <c r="T174">
        <v>50.31</v>
      </c>
      <c r="U174">
        <v>346.82</v>
      </c>
      <c r="V174">
        <v>833.92</v>
      </c>
      <c r="W174">
        <v>1911.74</v>
      </c>
      <c r="X174">
        <v>1005.33</v>
      </c>
      <c r="Y174">
        <v>62711.47</v>
      </c>
      <c r="Z174">
        <v>10.8277</v>
      </c>
      <c r="AA174">
        <v>10.661</v>
      </c>
      <c r="AB174">
        <v>11.056100000000001</v>
      </c>
      <c r="AC174">
        <v>10.1031</v>
      </c>
      <c r="AD174">
        <v>9.5646000000000004</v>
      </c>
      <c r="AE174">
        <v>9.1555999999999997</v>
      </c>
      <c r="AF174">
        <v>11.13</v>
      </c>
      <c r="AG174">
        <v>1.1244000000000001</v>
      </c>
      <c r="AH174">
        <v>110.78</v>
      </c>
      <c r="AI174">
        <v>1.2889999999999999</v>
      </c>
      <c r="AJ174">
        <v>1.35</v>
      </c>
      <c r="AK174">
        <v>8.6882000000000001</v>
      </c>
      <c r="AL174">
        <v>0.96779999999999999</v>
      </c>
      <c r="AM174">
        <v>186.63</v>
      </c>
      <c r="AN174">
        <v>105.03</v>
      </c>
      <c r="AO174">
        <v>100.4</v>
      </c>
      <c r="AP174">
        <v>94.26</v>
      </c>
      <c r="AQ174">
        <v>94.63</v>
      </c>
    </row>
    <row r="175" spans="1:43" x14ac:dyDescent="0.25">
      <c r="A175" s="1">
        <v>42916</v>
      </c>
      <c r="B175">
        <v>1.0113000000000001</v>
      </c>
      <c r="C175">
        <v>0.10199999999999999</v>
      </c>
      <c r="D175">
        <v>-0.92400000000000004</v>
      </c>
      <c r="E175">
        <v>-9.1999999999999998E-2</v>
      </c>
      <c r="F175">
        <v>1.3816999999999999</v>
      </c>
      <c r="G175">
        <v>0.34200000000000003</v>
      </c>
      <c r="H175">
        <v>-0.58099999999999996</v>
      </c>
      <c r="I175">
        <v>-0.125</v>
      </c>
      <c r="J175">
        <v>2.3037000000000001</v>
      </c>
      <c r="K175">
        <v>1.2556</v>
      </c>
      <c r="L175">
        <v>0.46500000000000002</v>
      </c>
      <c r="M175">
        <v>7.9000000000000001E-2</v>
      </c>
      <c r="N175">
        <v>11.18</v>
      </c>
      <c r="O175">
        <v>242.38200000000001</v>
      </c>
      <c r="P175">
        <v>95.628</v>
      </c>
      <c r="Q175">
        <v>117.17789999999999</v>
      </c>
      <c r="R175">
        <v>3.3071999999999999</v>
      </c>
      <c r="S175">
        <v>46.04</v>
      </c>
      <c r="T175">
        <v>47.92</v>
      </c>
      <c r="U175">
        <v>372.29</v>
      </c>
      <c r="V175">
        <v>845.99</v>
      </c>
      <c r="W175">
        <v>1916.43</v>
      </c>
      <c r="X175">
        <v>1010.8</v>
      </c>
      <c r="Y175">
        <v>62899.97</v>
      </c>
      <c r="Z175">
        <v>10.590999999999999</v>
      </c>
      <c r="AA175">
        <v>10.4617</v>
      </c>
      <c r="AB175">
        <v>10.888500000000001</v>
      </c>
      <c r="AC175">
        <v>9.8299000000000003</v>
      </c>
      <c r="AD175">
        <v>9.2260000000000009</v>
      </c>
      <c r="AE175">
        <v>8.7622999999999998</v>
      </c>
      <c r="AF175">
        <v>10.14</v>
      </c>
      <c r="AG175">
        <v>1.1426000000000001</v>
      </c>
      <c r="AH175">
        <v>112.39</v>
      </c>
      <c r="AI175">
        <v>1.3025</v>
      </c>
      <c r="AJ175">
        <v>1.2964</v>
      </c>
      <c r="AK175">
        <v>8.4321999999999999</v>
      </c>
      <c r="AL175">
        <v>0.95789999999999997</v>
      </c>
      <c r="AM175">
        <v>186.63</v>
      </c>
      <c r="AN175">
        <v>103.07</v>
      </c>
      <c r="AO175">
        <v>101.3</v>
      </c>
      <c r="AP175">
        <v>94.77</v>
      </c>
      <c r="AQ175">
        <v>94.17</v>
      </c>
    </row>
    <row r="176" spans="1:43" x14ac:dyDescent="0.25">
      <c r="A176" s="1">
        <v>42947</v>
      </c>
      <c r="B176">
        <v>1.0724</v>
      </c>
      <c r="C176">
        <v>0.13300000000000001</v>
      </c>
      <c r="D176">
        <v>-0.73199999999999998</v>
      </c>
      <c r="E176">
        <v>-0.129</v>
      </c>
      <c r="F176">
        <v>1.3491</v>
      </c>
      <c r="G176">
        <v>0.26219999999999999</v>
      </c>
      <c r="H176">
        <v>-0.68799999999999994</v>
      </c>
      <c r="I176">
        <v>-0.11799999999999999</v>
      </c>
      <c r="J176">
        <v>2.2942</v>
      </c>
      <c r="K176">
        <v>1.2283999999999999</v>
      </c>
      <c r="L176">
        <v>0.54100000000000004</v>
      </c>
      <c r="M176">
        <v>7.4999999999999997E-2</v>
      </c>
      <c r="N176">
        <v>10.26</v>
      </c>
      <c r="O176">
        <v>209.899</v>
      </c>
      <c r="P176">
        <v>92.863</v>
      </c>
      <c r="Q176">
        <v>116.4584</v>
      </c>
      <c r="R176">
        <v>3.1265999999999998</v>
      </c>
      <c r="S176">
        <v>50.17</v>
      </c>
      <c r="T176">
        <v>52.65</v>
      </c>
      <c r="U176">
        <v>362.42</v>
      </c>
      <c r="V176">
        <v>863.02</v>
      </c>
      <c r="W176">
        <v>1961.1</v>
      </c>
      <c r="X176">
        <v>1066.23</v>
      </c>
      <c r="Y176">
        <v>65920.36</v>
      </c>
      <c r="Z176">
        <v>9.9848999999999997</v>
      </c>
      <c r="AA176">
        <v>9.8353999999999999</v>
      </c>
      <c r="AB176">
        <v>10.3101</v>
      </c>
      <c r="AC176">
        <v>9.1144999999999996</v>
      </c>
      <c r="AD176">
        <v>8.4861000000000004</v>
      </c>
      <c r="AE176">
        <v>7.9938000000000002</v>
      </c>
      <c r="AF176">
        <v>9.14</v>
      </c>
      <c r="AG176">
        <v>1.1841999999999999</v>
      </c>
      <c r="AH176">
        <v>110.26</v>
      </c>
      <c r="AI176">
        <v>1.3214999999999999</v>
      </c>
      <c r="AJ176">
        <v>1.248</v>
      </c>
      <c r="AK176">
        <v>8.0678000000000001</v>
      </c>
      <c r="AL176">
        <v>0.96689999999999998</v>
      </c>
      <c r="AM176">
        <v>186.63</v>
      </c>
      <c r="AN176">
        <v>107.35</v>
      </c>
      <c r="AO176">
        <v>101.49</v>
      </c>
      <c r="AP176">
        <v>94.84</v>
      </c>
      <c r="AQ176">
        <v>96.46</v>
      </c>
    </row>
    <row r="177" spans="1:43" x14ac:dyDescent="0.25">
      <c r="A177" s="1">
        <v>42978</v>
      </c>
      <c r="B177">
        <v>0.99099999999999999</v>
      </c>
      <c r="C177">
        <v>0.17399999999999999</v>
      </c>
      <c r="D177">
        <v>-0.75600000000000001</v>
      </c>
      <c r="E177">
        <v>-0.20300000000000001</v>
      </c>
      <c r="F177">
        <v>1.3254999999999999</v>
      </c>
      <c r="G177">
        <v>0.16919999999999999</v>
      </c>
      <c r="H177">
        <v>-0.73299999999999998</v>
      </c>
      <c r="I177">
        <v>-0.16600000000000001</v>
      </c>
      <c r="J177">
        <v>2.117</v>
      </c>
      <c r="K177">
        <v>1.0329999999999999</v>
      </c>
      <c r="L177">
        <v>0.36</v>
      </c>
      <c r="M177">
        <v>4.0000000000000001E-3</v>
      </c>
      <c r="N177">
        <v>10.59</v>
      </c>
      <c r="O177">
        <v>195.80099999999999</v>
      </c>
      <c r="P177">
        <v>92.668000000000006</v>
      </c>
      <c r="Q177">
        <v>115.66589999999999</v>
      </c>
      <c r="R177">
        <v>3.1490999999999998</v>
      </c>
      <c r="S177">
        <v>47.23</v>
      </c>
      <c r="T177">
        <v>52.38</v>
      </c>
      <c r="U177">
        <v>339.96</v>
      </c>
      <c r="V177">
        <v>899.57</v>
      </c>
      <c r="W177">
        <v>1959.74</v>
      </c>
      <c r="X177">
        <v>1087.7</v>
      </c>
      <c r="Y177">
        <v>70835.05</v>
      </c>
      <c r="Z177">
        <v>9.9160000000000004</v>
      </c>
      <c r="AA177">
        <v>9.7585999999999995</v>
      </c>
      <c r="AB177">
        <v>10.353199999999999</v>
      </c>
      <c r="AC177">
        <v>9.0256000000000007</v>
      </c>
      <c r="AD177">
        <v>8.3059999999999992</v>
      </c>
      <c r="AE177">
        <v>7.5766999999999998</v>
      </c>
      <c r="AF177">
        <v>9.14</v>
      </c>
      <c r="AG177">
        <v>1.1910000000000001</v>
      </c>
      <c r="AH177">
        <v>109.98</v>
      </c>
      <c r="AI177">
        <v>1.2929999999999999</v>
      </c>
      <c r="AJ177">
        <v>1.2482</v>
      </c>
      <c r="AK177">
        <v>7.9386999999999999</v>
      </c>
      <c r="AL177">
        <v>0.9587</v>
      </c>
      <c r="AM177">
        <v>186.63</v>
      </c>
      <c r="AN177">
        <v>112.64</v>
      </c>
      <c r="AO177">
        <v>101.55</v>
      </c>
      <c r="AP177">
        <v>94.56</v>
      </c>
      <c r="AQ177">
        <v>97.7</v>
      </c>
    </row>
    <row r="178" spans="1:43" x14ac:dyDescent="0.25">
      <c r="A178" s="1">
        <v>43007</v>
      </c>
      <c r="B178">
        <v>1.0405</v>
      </c>
      <c r="C178">
        <v>0.183</v>
      </c>
      <c r="D178">
        <v>-0.749</v>
      </c>
      <c r="E178">
        <v>-0.218</v>
      </c>
      <c r="F178">
        <v>1.4826999999999999</v>
      </c>
      <c r="G178">
        <v>0.44359999999999999</v>
      </c>
      <c r="H178">
        <v>-0.69699999999999995</v>
      </c>
      <c r="I178">
        <v>-0.126</v>
      </c>
      <c r="J178">
        <v>2.3336000000000001</v>
      </c>
      <c r="K178">
        <v>1.3608</v>
      </c>
      <c r="L178">
        <v>0.46200000000000002</v>
      </c>
      <c r="M178">
        <v>0.06</v>
      </c>
      <c r="N178">
        <v>9.51</v>
      </c>
      <c r="O178">
        <v>195.95400000000001</v>
      </c>
      <c r="P178">
        <v>93.075999999999993</v>
      </c>
      <c r="Q178">
        <v>114.9538</v>
      </c>
      <c r="R178">
        <v>3.1623000000000001</v>
      </c>
      <c r="S178">
        <v>51.67</v>
      </c>
      <c r="T178">
        <v>57.54</v>
      </c>
      <c r="U178">
        <v>330.25</v>
      </c>
      <c r="V178">
        <v>890.79</v>
      </c>
      <c r="W178">
        <v>2000.55</v>
      </c>
      <c r="X178">
        <v>1081.72</v>
      </c>
      <c r="Y178">
        <v>74293.509999999995</v>
      </c>
      <c r="Z178">
        <v>9.6471</v>
      </c>
      <c r="AA178">
        <v>9.4314999999999998</v>
      </c>
      <c r="AB178">
        <v>10.129899999999999</v>
      </c>
      <c r="AC178">
        <v>8.6577000000000002</v>
      </c>
      <c r="AD178">
        <v>7.9298999999999999</v>
      </c>
      <c r="AE178">
        <v>7.1355000000000004</v>
      </c>
      <c r="AF178">
        <v>8.14</v>
      </c>
      <c r="AG178">
        <v>1.1814</v>
      </c>
      <c r="AH178">
        <v>112.51</v>
      </c>
      <c r="AI178">
        <v>1.3398000000000001</v>
      </c>
      <c r="AJ178">
        <v>1.2472000000000001</v>
      </c>
      <c r="AK178">
        <v>8.1479999999999997</v>
      </c>
      <c r="AL178">
        <v>0.96830000000000005</v>
      </c>
      <c r="AM178">
        <v>186.63</v>
      </c>
      <c r="AN178">
        <v>108.35</v>
      </c>
      <c r="AO178">
        <v>101.9</v>
      </c>
      <c r="AP178">
        <v>94.53</v>
      </c>
      <c r="AQ178">
        <v>94.06</v>
      </c>
    </row>
    <row r="179" spans="1:43" x14ac:dyDescent="0.25">
      <c r="A179" s="1">
        <v>43039</v>
      </c>
      <c r="B179">
        <v>1.1312</v>
      </c>
      <c r="C179">
        <v>0.372</v>
      </c>
      <c r="D179">
        <v>-0.83099999999999996</v>
      </c>
      <c r="E179">
        <v>-0.2</v>
      </c>
      <c r="F179">
        <v>1.5996999999999999</v>
      </c>
      <c r="G179">
        <v>0.4541</v>
      </c>
      <c r="H179">
        <v>-0.754</v>
      </c>
      <c r="I179">
        <v>-0.16500000000000001</v>
      </c>
      <c r="J179">
        <v>2.3793000000000002</v>
      </c>
      <c r="K179">
        <v>1.3305</v>
      </c>
      <c r="L179">
        <v>0.36199999999999999</v>
      </c>
      <c r="M179">
        <v>6.4000000000000001E-2</v>
      </c>
      <c r="N179">
        <v>10.18</v>
      </c>
      <c r="O179">
        <v>171.76900000000001</v>
      </c>
      <c r="P179">
        <v>94.552000000000007</v>
      </c>
      <c r="Q179">
        <v>117.14109999999999</v>
      </c>
      <c r="R179">
        <v>3.2713000000000001</v>
      </c>
      <c r="S179">
        <v>54.38</v>
      </c>
      <c r="T179">
        <v>61.37</v>
      </c>
      <c r="U179">
        <v>344.61</v>
      </c>
      <c r="V179">
        <v>872.48</v>
      </c>
      <c r="W179">
        <v>2036.8</v>
      </c>
      <c r="X179">
        <v>1119.08</v>
      </c>
      <c r="Y179">
        <v>74308.490000000005</v>
      </c>
      <c r="Z179">
        <v>10.0458</v>
      </c>
      <c r="AA179">
        <v>9.8536999999999999</v>
      </c>
      <c r="AB179">
        <v>10.3969</v>
      </c>
      <c r="AC179">
        <v>9.0777999999999999</v>
      </c>
      <c r="AD179">
        <v>8.2344000000000008</v>
      </c>
      <c r="AE179">
        <v>7.1580000000000004</v>
      </c>
      <c r="AF179">
        <v>7.39</v>
      </c>
      <c r="AG179">
        <v>1.1646000000000001</v>
      </c>
      <c r="AH179">
        <v>113.64</v>
      </c>
      <c r="AI179">
        <v>1.3283</v>
      </c>
      <c r="AJ179">
        <v>1.2887999999999999</v>
      </c>
      <c r="AK179">
        <v>8.3775999999999993</v>
      </c>
      <c r="AL179">
        <v>0.99760000000000004</v>
      </c>
      <c r="AM179">
        <v>186.63</v>
      </c>
      <c r="AN179">
        <v>110.88</v>
      </c>
      <c r="AO179">
        <v>102.87</v>
      </c>
      <c r="AP179">
        <v>94.8</v>
      </c>
      <c r="AQ179">
        <v>95.02</v>
      </c>
    </row>
    <row r="180" spans="1:43" x14ac:dyDescent="0.25">
      <c r="A180" s="1">
        <v>43069</v>
      </c>
      <c r="B180">
        <v>1.256</v>
      </c>
      <c r="C180">
        <v>0.35399999999999998</v>
      </c>
      <c r="D180">
        <v>-0.995</v>
      </c>
      <c r="E180">
        <v>-0.16700000000000001</v>
      </c>
      <c r="F180">
        <v>1.782</v>
      </c>
      <c r="G180">
        <v>0.51470000000000005</v>
      </c>
      <c r="H180">
        <v>-0.69</v>
      </c>
      <c r="I180">
        <v>-0.16300000000000001</v>
      </c>
      <c r="J180">
        <v>2.4097</v>
      </c>
      <c r="K180">
        <v>1.3291999999999999</v>
      </c>
      <c r="L180">
        <v>0.36599999999999999</v>
      </c>
      <c r="M180">
        <v>3.4000000000000002E-2</v>
      </c>
      <c r="N180">
        <v>11.28</v>
      </c>
      <c r="O180">
        <v>170.78800000000001</v>
      </c>
      <c r="P180">
        <v>93.046999999999997</v>
      </c>
      <c r="Q180">
        <v>117.1105</v>
      </c>
      <c r="R180">
        <v>3.2683</v>
      </c>
      <c r="S180">
        <v>57.4</v>
      </c>
      <c r="T180">
        <v>63.57</v>
      </c>
      <c r="U180">
        <v>345.01</v>
      </c>
      <c r="V180">
        <v>864.43</v>
      </c>
      <c r="W180">
        <v>2077.36</v>
      </c>
      <c r="X180">
        <v>1120.79</v>
      </c>
      <c r="Y180">
        <v>71970.990000000005</v>
      </c>
      <c r="Z180">
        <v>10.453799999999999</v>
      </c>
      <c r="AA180">
        <v>10.259600000000001</v>
      </c>
      <c r="AB180">
        <v>10.950200000000001</v>
      </c>
      <c r="AC180">
        <v>9.3371999999999993</v>
      </c>
      <c r="AD180">
        <v>8.3775999999999993</v>
      </c>
      <c r="AE180">
        <v>7.0434999999999999</v>
      </c>
      <c r="AF180">
        <v>7.39</v>
      </c>
      <c r="AG180">
        <v>1.1903999999999999</v>
      </c>
      <c r="AH180">
        <v>112.54</v>
      </c>
      <c r="AI180">
        <v>1.3525</v>
      </c>
      <c r="AJ180">
        <v>1.2897000000000001</v>
      </c>
      <c r="AK180">
        <v>8.3767999999999994</v>
      </c>
      <c r="AL180">
        <v>0.98360000000000003</v>
      </c>
      <c r="AM180">
        <v>186.63</v>
      </c>
      <c r="AN180">
        <v>105.58</v>
      </c>
      <c r="AO180">
        <v>103.32</v>
      </c>
      <c r="AP180">
        <v>94.96</v>
      </c>
      <c r="AQ180">
        <v>94.4</v>
      </c>
    </row>
    <row r="181" spans="1:43" x14ac:dyDescent="0.25">
      <c r="A181" s="1">
        <v>43098</v>
      </c>
      <c r="B181">
        <v>1.3756999999999999</v>
      </c>
      <c r="C181">
        <v>0.35899999999999999</v>
      </c>
      <c r="D181">
        <v>-0.78100000000000003</v>
      </c>
      <c r="E181">
        <v>-0.156</v>
      </c>
      <c r="F181">
        <v>1.883</v>
      </c>
      <c r="G181">
        <v>0.42749999999999999</v>
      </c>
      <c r="H181">
        <v>-0.63900000000000001</v>
      </c>
      <c r="I181">
        <v>-0.14099999999999999</v>
      </c>
      <c r="J181">
        <v>2.4054000000000002</v>
      </c>
      <c r="K181">
        <v>1.1883999999999999</v>
      </c>
      <c r="L181">
        <v>0.42299999999999999</v>
      </c>
      <c r="M181">
        <v>4.2999999999999997E-2</v>
      </c>
      <c r="N181">
        <v>11.04</v>
      </c>
      <c r="O181">
        <v>161.96600000000001</v>
      </c>
      <c r="P181">
        <v>92.123999999999995</v>
      </c>
      <c r="Q181">
        <v>117.06610000000001</v>
      </c>
      <c r="R181">
        <v>3.3085</v>
      </c>
      <c r="S181">
        <v>60.42</v>
      </c>
      <c r="T181">
        <v>66.87</v>
      </c>
      <c r="U181">
        <v>336.04</v>
      </c>
      <c r="V181">
        <v>910.56</v>
      </c>
      <c r="W181">
        <v>2103.4499999999998</v>
      </c>
      <c r="X181">
        <v>1158.45</v>
      </c>
      <c r="Y181">
        <v>76402.080000000002</v>
      </c>
      <c r="Z181">
        <v>10.2643</v>
      </c>
      <c r="AA181">
        <v>9.9923000000000002</v>
      </c>
      <c r="AB181">
        <v>10.7767</v>
      </c>
      <c r="AC181">
        <v>9.06</v>
      </c>
      <c r="AD181">
        <v>8.0660000000000007</v>
      </c>
      <c r="AE181">
        <v>6.87</v>
      </c>
      <c r="AF181">
        <v>6.89</v>
      </c>
      <c r="AG181">
        <v>1.2004999999999999</v>
      </c>
      <c r="AH181">
        <v>112.69</v>
      </c>
      <c r="AI181">
        <v>1.3512999999999999</v>
      </c>
      <c r="AJ181">
        <v>1.2571000000000001</v>
      </c>
      <c r="AK181">
        <v>8.1832999999999991</v>
      </c>
      <c r="AL181">
        <v>0.97430000000000005</v>
      </c>
      <c r="AM181">
        <v>186.63</v>
      </c>
      <c r="AN181">
        <v>94.39</v>
      </c>
      <c r="AO181">
        <v>106.08</v>
      </c>
      <c r="AP181">
        <v>96.28</v>
      </c>
      <c r="AQ181">
        <v>95.1</v>
      </c>
    </row>
    <row r="182" spans="1:43" x14ac:dyDescent="0.25">
      <c r="A182" s="1">
        <v>43131</v>
      </c>
      <c r="B182">
        <v>1.4551000000000001</v>
      </c>
      <c r="C182">
        <v>0.27800000000000002</v>
      </c>
      <c r="D182">
        <v>-0.69299999999999995</v>
      </c>
      <c r="E182">
        <v>-0.16</v>
      </c>
      <c r="F182">
        <v>2.1406000000000001</v>
      </c>
      <c r="G182">
        <v>0.65869999999999995</v>
      </c>
      <c r="H182">
        <v>-0.53500000000000003</v>
      </c>
      <c r="I182">
        <v>-0.13900000000000001</v>
      </c>
      <c r="J182">
        <v>2.7050000000000001</v>
      </c>
      <c r="K182">
        <v>1.5099</v>
      </c>
      <c r="L182">
        <v>0.69499999999999995</v>
      </c>
      <c r="M182">
        <v>0.08</v>
      </c>
      <c r="N182">
        <v>13.54</v>
      </c>
      <c r="O182">
        <v>144.488</v>
      </c>
      <c r="P182">
        <v>89.132999999999996</v>
      </c>
      <c r="Q182">
        <v>114.9496</v>
      </c>
      <c r="R182">
        <v>3.1869000000000001</v>
      </c>
      <c r="S182">
        <v>64.73</v>
      </c>
      <c r="T182">
        <v>69.05</v>
      </c>
      <c r="U182">
        <v>346.07</v>
      </c>
      <c r="V182">
        <v>963.13</v>
      </c>
      <c r="W182">
        <v>2213.2399999999998</v>
      </c>
      <c r="X182">
        <v>1254.5899999999999</v>
      </c>
      <c r="Y182">
        <v>84912.7</v>
      </c>
      <c r="Z182">
        <v>9.6891999999999996</v>
      </c>
      <c r="AA182">
        <v>9.5327000000000002</v>
      </c>
      <c r="AB182">
        <v>10.231</v>
      </c>
      <c r="AC182">
        <v>8.8693000000000008</v>
      </c>
      <c r="AD182">
        <v>8.1061999999999994</v>
      </c>
      <c r="AE182">
        <v>6.9104000000000001</v>
      </c>
      <c r="AF182">
        <v>6.89</v>
      </c>
      <c r="AG182">
        <v>1.2414000000000001</v>
      </c>
      <c r="AH182">
        <v>109.19</v>
      </c>
      <c r="AI182">
        <v>1.4191</v>
      </c>
      <c r="AJ182">
        <v>1.2315</v>
      </c>
      <c r="AK182">
        <v>7.8789999999999996</v>
      </c>
      <c r="AL182">
        <v>0.93130000000000002</v>
      </c>
      <c r="AM182">
        <v>186.63</v>
      </c>
      <c r="AN182">
        <v>95.85</v>
      </c>
      <c r="AO182">
        <v>103.69</v>
      </c>
      <c r="AP182">
        <v>95.73</v>
      </c>
      <c r="AQ182">
        <v>92.36</v>
      </c>
    </row>
    <row r="183" spans="1:43" x14ac:dyDescent="0.25">
      <c r="A183" s="1">
        <v>43159</v>
      </c>
      <c r="B183">
        <v>1.6517999999999999</v>
      </c>
      <c r="C183">
        <v>0.28499999999999998</v>
      </c>
      <c r="D183">
        <v>-0.69499999999999995</v>
      </c>
      <c r="E183">
        <v>-0.19900000000000001</v>
      </c>
      <c r="F183">
        <v>2.25</v>
      </c>
      <c r="G183">
        <v>0.77400000000000002</v>
      </c>
      <c r="H183">
        <v>-0.54800000000000004</v>
      </c>
      <c r="I183">
        <v>-0.161</v>
      </c>
      <c r="J183">
        <v>2.8605999999999998</v>
      </c>
      <c r="K183">
        <v>1.4998</v>
      </c>
      <c r="L183">
        <v>0.65300000000000002</v>
      </c>
      <c r="M183">
        <v>4.8000000000000001E-2</v>
      </c>
      <c r="N183">
        <v>19.850000000000001</v>
      </c>
      <c r="O183">
        <v>156.32900000000001</v>
      </c>
      <c r="P183">
        <v>90.613</v>
      </c>
      <c r="Q183">
        <v>114.2191</v>
      </c>
      <c r="R183">
        <v>3.2477</v>
      </c>
      <c r="S183">
        <v>61.64</v>
      </c>
      <c r="T183">
        <v>65.78</v>
      </c>
      <c r="U183">
        <v>347.16</v>
      </c>
      <c r="V183">
        <v>963.33</v>
      </c>
      <c r="W183">
        <v>2117.9899999999998</v>
      </c>
      <c r="X183">
        <v>1195.19</v>
      </c>
      <c r="Y183">
        <v>85353.59</v>
      </c>
      <c r="Z183">
        <v>9.5269999999999992</v>
      </c>
      <c r="AA183">
        <v>9.2956000000000003</v>
      </c>
      <c r="AB183">
        <v>9.9739000000000004</v>
      </c>
      <c r="AC183">
        <v>8.5634999999999994</v>
      </c>
      <c r="AD183">
        <v>7.7374999999999998</v>
      </c>
      <c r="AE183">
        <v>6.6776</v>
      </c>
      <c r="AF183">
        <v>6.64</v>
      </c>
      <c r="AG183">
        <v>1.2194</v>
      </c>
      <c r="AH183">
        <v>106.68</v>
      </c>
      <c r="AI183">
        <v>1.3759999999999999</v>
      </c>
      <c r="AJ183">
        <v>1.2830999999999999</v>
      </c>
      <c r="AK183">
        <v>8.2911000000000001</v>
      </c>
      <c r="AL183">
        <v>0.9446</v>
      </c>
      <c r="AM183">
        <v>186.63</v>
      </c>
      <c r="AN183">
        <v>90.04</v>
      </c>
      <c r="AO183">
        <v>102.95</v>
      </c>
      <c r="AP183">
        <v>95.42</v>
      </c>
      <c r="AQ183">
        <v>90.65</v>
      </c>
    </row>
    <row r="184" spans="1:43" x14ac:dyDescent="0.25">
      <c r="A184" s="1">
        <v>43189</v>
      </c>
      <c r="B184">
        <v>1.7000999999999999</v>
      </c>
      <c r="C184">
        <v>0.40300000000000002</v>
      </c>
      <c r="D184">
        <v>-0.80100000000000005</v>
      </c>
      <c r="E184">
        <v>-2.7E-2</v>
      </c>
      <c r="F184">
        <v>2.2660999999999998</v>
      </c>
      <c r="G184">
        <v>0.81789999999999996</v>
      </c>
      <c r="H184">
        <v>-0.61399999999999999</v>
      </c>
      <c r="I184">
        <v>-0.13800000000000001</v>
      </c>
      <c r="J184">
        <v>2.7389000000000001</v>
      </c>
      <c r="K184">
        <v>1.3489</v>
      </c>
      <c r="L184">
        <v>0.49399999999999999</v>
      </c>
      <c r="M184">
        <v>4.3999999999999997E-2</v>
      </c>
      <c r="N184">
        <v>19.97</v>
      </c>
      <c r="O184">
        <v>164.2</v>
      </c>
      <c r="P184">
        <v>89.974000000000004</v>
      </c>
      <c r="Q184">
        <v>114.13639999999999</v>
      </c>
      <c r="R184">
        <v>3.3062999999999998</v>
      </c>
      <c r="S184">
        <v>64.94</v>
      </c>
      <c r="T184">
        <v>70.27</v>
      </c>
      <c r="U184">
        <v>336.95</v>
      </c>
      <c r="V184">
        <v>958.72</v>
      </c>
      <c r="W184">
        <v>2066.84</v>
      </c>
      <c r="X184">
        <v>1170.8800000000001</v>
      </c>
      <c r="Y184">
        <v>85365.56</v>
      </c>
      <c r="Z184">
        <v>9.3315000000000001</v>
      </c>
      <c r="AA184">
        <v>9.0548999999999999</v>
      </c>
      <c r="AB184">
        <v>9.9016000000000002</v>
      </c>
      <c r="AC184">
        <v>8.1723999999999997</v>
      </c>
      <c r="AD184">
        <v>7.2865000000000002</v>
      </c>
      <c r="AE184">
        <v>6.3137999999999996</v>
      </c>
      <c r="AF184">
        <v>6.39</v>
      </c>
      <c r="AG184">
        <v>1.2323999999999999</v>
      </c>
      <c r="AH184">
        <v>106.28</v>
      </c>
      <c r="AI184">
        <v>1.4015</v>
      </c>
      <c r="AJ184">
        <v>1.29</v>
      </c>
      <c r="AK184">
        <v>8.3417999999999992</v>
      </c>
      <c r="AL184">
        <v>0.95399999999999996</v>
      </c>
      <c r="AM184">
        <v>186.63</v>
      </c>
      <c r="AN184">
        <v>100.5</v>
      </c>
      <c r="AO184">
        <v>104.54</v>
      </c>
      <c r="AP184">
        <v>95.44</v>
      </c>
      <c r="AQ184">
        <v>98.82</v>
      </c>
    </row>
    <row r="185" spans="1:43" x14ac:dyDescent="0.25">
      <c r="A185" s="1">
        <v>43220</v>
      </c>
      <c r="B185">
        <v>1.7996000000000001</v>
      </c>
      <c r="C185">
        <v>0.45100000000000001</v>
      </c>
      <c r="D185">
        <v>-0.68600000000000005</v>
      </c>
      <c r="E185">
        <v>-0.14899999999999999</v>
      </c>
      <c r="F185">
        <v>2.4878999999999998</v>
      </c>
      <c r="G185">
        <v>0.77170000000000005</v>
      </c>
      <c r="H185">
        <v>-0.59199999999999997</v>
      </c>
      <c r="I185">
        <v>-0.14000000000000001</v>
      </c>
      <c r="J185">
        <v>2.9531000000000001</v>
      </c>
      <c r="K185">
        <v>1.4173</v>
      </c>
      <c r="L185">
        <v>0.55700000000000005</v>
      </c>
      <c r="M185">
        <v>0.05</v>
      </c>
      <c r="N185">
        <v>15.93</v>
      </c>
      <c r="O185">
        <v>173.77799999999999</v>
      </c>
      <c r="P185">
        <v>91.840999999999994</v>
      </c>
      <c r="Q185">
        <v>114.0487</v>
      </c>
      <c r="R185">
        <v>3.5072000000000001</v>
      </c>
      <c r="S185">
        <v>68.569999999999993</v>
      </c>
      <c r="T185">
        <v>75.17</v>
      </c>
      <c r="U185">
        <v>353.48</v>
      </c>
      <c r="V185">
        <v>972.17</v>
      </c>
      <c r="W185">
        <v>2086.5100000000002</v>
      </c>
      <c r="X185">
        <v>1164.43</v>
      </c>
      <c r="Y185">
        <v>86115.5</v>
      </c>
      <c r="Z185">
        <v>9.5607000000000006</v>
      </c>
      <c r="AA185">
        <v>9.2777999999999992</v>
      </c>
      <c r="AB185">
        <v>10.1425</v>
      </c>
      <c r="AC185">
        <v>8.2416</v>
      </c>
      <c r="AD185">
        <v>7.3247</v>
      </c>
      <c r="AE185">
        <v>6.4226000000000001</v>
      </c>
      <c r="AF185">
        <v>6.39</v>
      </c>
      <c r="AG185">
        <v>1.2078</v>
      </c>
      <c r="AH185">
        <v>109.34</v>
      </c>
      <c r="AI185">
        <v>1.3763000000000001</v>
      </c>
      <c r="AJ185">
        <v>1.2843</v>
      </c>
      <c r="AK185">
        <v>8.7492000000000001</v>
      </c>
      <c r="AL185">
        <v>0.9909</v>
      </c>
      <c r="AM185">
        <v>186.63</v>
      </c>
      <c r="AN185">
        <v>100.78</v>
      </c>
      <c r="AO185">
        <v>104.89</v>
      </c>
      <c r="AP185">
        <v>95.96</v>
      </c>
      <c r="AQ185">
        <v>96.92</v>
      </c>
    </row>
    <row r="186" spans="1:43" x14ac:dyDescent="0.25">
      <c r="A186" s="1">
        <v>43251</v>
      </c>
      <c r="B186">
        <v>1.8946000000000001</v>
      </c>
      <c r="C186">
        <v>0.45900000000000002</v>
      </c>
      <c r="D186">
        <v>-0.65400000000000003</v>
      </c>
      <c r="E186">
        <v>-0.154</v>
      </c>
      <c r="F186">
        <v>2.4274</v>
      </c>
      <c r="G186">
        <v>0.60470000000000002</v>
      </c>
      <c r="H186">
        <v>-0.66700000000000004</v>
      </c>
      <c r="I186">
        <v>-0.14699999999999999</v>
      </c>
      <c r="J186">
        <v>2.8586</v>
      </c>
      <c r="K186">
        <v>1.2282999999999999</v>
      </c>
      <c r="L186">
        <v>0.33800000000000002</v>
      </c>
      <c r="M186">
        <v>3.2000000000000001E-2</v>
      </c>
      <c r="N186">
        <v>15.43</v>
      </c>
      <c r="O186">
        <v>226.51499999999999</v>
      </c>
      <c r="P186">
        <v>93.978999999999999</v>
      </c>
      <c r="Q186">
        <v>117.45099999999999</v>
      </c>
      <c r="R186">
        <v>3.7239</v>
      </c>
      <c r="S186">
        <v>67.040000000000006</v>
      </c>
      <c r="T186">
        <v>77.59</v>
      </c>
      <c r="U186">
        <v>355.93</v>
      </c>
      <c r="V186">
        <v>951.41</v>
      </c>
      <c r="W186">
        <v>2092.92</v>
      </c>
      <c r="X186">
        <v>1120.71</v>
      </c>
      <c r="Y186">
        <v>76753.62</v>
      </c>
      <c r="Z186">
        <v>11.035299999999999</v>
      </c>
      <c r="AA186">
        <v>10.7614</v>
      </c>
      <c r="AB186">
        <v>11.795400000000001</v>
      </c>
      <c r="AC186">
        <v>9.2670999999999992</v>
      </c>
      <c r="AD186">
        <v>8.1647999999999996</v>
      </c>
      <c r="AE186">
        <v>7.2126999999999999</v>
      </c>
      <c r="AF186">
        <v>6.39</v>
      </c>
      <c r="AG186">
        <v>1.1693</v>
      </c>
      <c r="AH186">
        <v>108.82</v>
      </c>
      <c r="AI186">
        <v>1.3298000000000001</v>
      </c>
      <c r="AJ186">
        <v>1.2958000000000001</v>
      </c>
      <c r="AK186">
        <v>8.8135999999999992</v>
      </c>
      <c r="AL186">
        <v>0.98580000000000001</v>
      </c>
      <c r="AM186">
        <v>186.63</v>
      </c>
      <c r="AN186">
        <v>98.36</v>
      </c>
      <c r="AO186">
        <v>93.45</v>
      </c>
      <c r="AP186">
        <v>93.06</v>
      </c>
      <c r="AQ186">
        <v>92.23</v>
      </c>
    </row>
    <row r="187" spans="1:43" x14ac:dyDescent="0.25">
      <c r="A187" s="1">
        <v>43280</v>
      </c>
      <c r="B187">
        <v>1.9123000000000001</v>
      </c>
      <c r="C187">
        <v>0.54200000000000004</v>
      </c>
      <c r="D187">
        <v>-0.65400000000000003</v>
      </c>
      <c r="E187">
        <v>-0.14299999999999999</v>
      </c>
      <c r="F187">
        <v>2.5282</v>
      </c>
      <c r="G187">
        <v>0.71899999999999997</v>
      </c>
      <c r="H187">
        <v>-0.67400000000000004</v>
      </c>
      <c r="I187">
        <v>-0.128</v>
      </c>
      <c r="J187">
        <v>2.8601000000000001</v>
      </c>
      <c r="K187">
        <v>1.2767999999999999</v>
      </c>
      <c r="L187">
        <v>0.3</v>
      </c>
      <c r="M187">
        <v>2.9000000000000001E-2</v>
      </c>
      <c r="N187">
        <v>16.09</v>
      </c>
      <c r="O187">
        <v>270.18</v>
      </c>
      <c r="P187">
        <v>94.47</v>
      </c>
      <c r="Q187">
        <v>119.82040000000001</v>
      </c>
      <c r="R187">
        <v>3.8765000000000001</v>
      </c>
      <c r="S187">
        <v>74.150000000000006</v>
      </c>
      <c r="T187">
        <v>79.44</v>
      </c>
      <c r="U187">
        <v>348.8</v>
      </c>
      <c r="V187">
        <v>927.18</v>
      </c>
      <c r="W187">
        <v>2089.3000000000002</v>
      </c>
      <c r="X187">
        <v>1069.52</v>
      </c>
      <c r="Y187">
        <v>72762.509999999995</v>
      </c>
      <c r="Z187">
        <v>11.387700000000001</v>
      </c>
      <c r="AA187">
        <v>11.005699999999999</v>
      </c>
      <c r="AB187">
        <v>12.0769</v>
      </c>
      <c r="AC187">
        <v>9.7582000000000004</v>
      </c>
      <c r="AD187">
        <v>8.8345000000000002</v>
      </c>
      <c r="AE187">
        <v>7.6638000000000002</v>
      </c>
      <c r="AF187">
        <v>6.39</v>
      </c>
      <c r="AG187">
        <v>1.1684000000000001</v>
      </c>
      <c r="AH187">
        <v>110.76</v>
      </c>
      <c r="AI187">
        <v>1.3207</v>
      </c>
      <c r="AJ187">
        <v>1.3132999999999999</v>
      </c>
      <c r="AK187">
        <v>8.9428000000000001</v>
      </c>
      <c r="AL187">
        <v>0.99060000000000004</v>
      </c>
      <c r="AM187">
        <v>186.63</v>
      </c>
      <c r="AN187">
        <v>106.1</v>
      </c>
      <c r="AO187">
        <v>105.02</v>
      </c>
      <c r="AP187">
        <v>95.68</v>
      </c>
      <c r="AQ187">
        <v>95.61</v>
      </c>
    </row>
    <row r="188" spans="1:43" x14ac:dyDescent="0.25">
      <c r="A188" s="1">
        <v>43312</v>
      </c>
      <c r="B188">
        <v>2.0203000000000002</v>
      </c>
      <c r="C188">
        <v>0.63</v>
      </c>
      <c r="D188">
        <v>-0.60499999999999998</v>
      </c>
      <c r="E188">
        <v>-0.191</v>
      </c>
      <c r="F188">
        <v>2.6694</v>
      </c>
      <c r="G188">
        <v>0.76690000000000003</v>
      </c>
      <c r="H188">
        <v>-0.57899999999999996</v>
      </c>
      <c r="I188">
        <v>-0.114</v>
      </c>
      <c r="J188">
        <v>2.9598</v>
      </c>
      <c r="K188">
        <v>1.3293999999999999</v>
      </c>
      <c r="L188">
        <v>0.442</v>
      </c>
      <c r="M188">
        <v>5.7000000000000002E-2</v>
      </c>
      <c r="N188">
        <v>12.83</v>
      </c>
      <c r="O188">
        <v>214.39</v>
      </c>
      <c r="P188">
        <v>94.554000000000002</v>
      </c>
      <c r="Q188">
        <v>119.8734</v>
      </c>
      <c r="R188">
        <v>3.7574000000000001</v>
      </c>
      <c r="S188">
        <v>68.760000000000005</v>
      </c>
      <c r="T188">
        <v>74.25</v>
      </c>
      <c r="U188">
        <v>340.65</v>
      </c>
      <c r="V188">
        <v>895.26</v>
      </c>
      <c r="W188">
        <v>2153.1</v>
      </c>
      <c r="X188">
        <v>1087.46</v>
      </c>
      <c r="Y188">
        <v>79220.429999999993</v>
      </c>
      <c r="Z188">
        <v>10.877800000000001</v>
      </c>
      <c r="AA188">
        <v>10.586499999999999</v>
      </c>
      <c r="AB188">
        <v>11.470700000000001</v>
      </c>
      <c r="AC188">
        <v>9.4565999999999999</v>
      </c>
      <c r="AD188">
        <v>8.5300999999999991</v>
      </c>
      <c r="AE188">
        <v>7.4096000000000002</v>
      </c>
      <c r="AF188">
        <v>6.39</v>
      </c>
      <c r="AG188">
        <v>1.1691</v>
      </c>
      <c r="AH188">
        <v>111.86</v>
      </c>
      <c r="AI188">
        <v>1.3124</v>
      </c>
      <c r="AJ188">
        <v>1.3006</v>
      </c>
      <c r="AK188">
        <v>8.7918000000000003</v>
      </c>
      <c r="AL188">
        <v>0.99029999999999996</v>
      </c>
      <c r="AM188">
        <v>186.63</v>
      </c>
      <c r="AN188">
        <v>111.62</v>
      </c>
      <c r="AO188">
        <v>104.68</v>
      </c>
      <c r="AP188">
        <v>96.01</v>
      </c>
      <c r="AQ188">
        <v>98.4</v>
      </c>
    </row>
    <row r="189" spans="1:43" x14ac:dyDescent="0.25">
      <c r="A189" s="1">
        <v>43343</v>
      </c>
      <c r="B189">
        <v>2.0937999999999999</v>
      </c>
      <c r="C189">
        <v>0.73299999999999998</v>
      </c>
      <c r="D189">
        <v>-0.59199999999999997</v>
      </c>
      <c r="E189">
        <v>-0.14000000000000001</v>
      </c>
      <c r="F189">
        <v>2.6269</v>
      </c>
      <c r="G189">
        <v>0.72540000000000004</v>
      </c>
      <c r="H189">
        <v>-0.61099999999999999</v>
      </c>
      <c r="I189">
        <v>-0.12</v>
      </c>
      <c r="J189">
        <v>2.8603999999999998</v>
      </c>
      <c r="K189">
        <v>1.4258999999999999</v>
      </c>
      <c r="L189">
        <v>0.32500000000000001</v>
      </c>
      <c r="M189">
        <v>0.10100000000000001</v>
      </c>
      <c r="N189">
        <v>12.86</v>
      </c>
      <c r="O189">
        <v>302.03500000000003</v>
      </c>
      <c r="P189">
        <v>95.14</v>
      </c>
      <c r="Q189">
        <v>120.9209</v>
      </c>
      <c r="R189">
        <v>4.0540000000000003</v>
      </c>
      <c r="S189">
        <v>69.8</v>
      </c>
      <c r="T189">
        <v>77.42</v>
      </c>
      <c r="U189">
        <v>318.24</v>
      </c>
      <c r="V189">
        <v>831.8</v>
      </c>
      <c r="W189">
        <v>2175.5</v>
      </c>
      <c r="X189">
        <v>1055.96</v>
      </c>
      <c r="Y189">
        <v>76677.53</v>
      </c>
      <c r="Z189">
        <v>12.027900000000001</v>
      </c>
      <c r="AA189">
        <v>11.655200000000001</v>
      </c>
      <c r="AB189">
        <v>12.6806</v>
      </c>
      <c r="AC189">
        <v>10.442500000000001</v>
      </c>
      <c r="AD189">
        <v>9.4848999999999997</v>
      </c>
      <c r="AE189">
        <v>8.2399000000000004</v>
      </c>
      <c r="AF189">
        <v>6.39</v>
      </c>
      <c r="AG189">
        <v>1.1601999999999999</v>
      </c>
      <c r="AH189">
        <v>111.03</v>
      </c>
      <c r="AI189">
        <v>1.296</v>
      </c>
      <c r="AJ189">
        <v>1.304</v>
      </c>
      <c r="AK189">
        <v>9.1537000000000006</v>
      </c>
      <c r="AL189">
        <v>0.96889999999999998</v>
      </c>
      <c r="AM189">
        <v>186.63</v>
      </c>
      <c r="AN189">
        <v>114.46</v>
      </c>
      <c r="AO189">
        <v>103.83</v>
      </c>
      <c r="AP189">
        <v>96.74</v>
      </c>
      <c r="AQ189">
        <v>99.98</v>
      </c>
    </row>
    <row r="190" spans="1:43" x14ac:dyDescent="0.25">
      <c r="A190" s="1">
        <v>43371</v>
      </c>
      <c r="B190">
        <v>2.1964000000000001</v>
      </c>
      <c r="C190">
        <v>0.72199999999999998</v>
      </c>
      <c r="D190">
        <v>-0.58699999999999997</v>
      </c>
      <c r="E190">
        <v>-0.13600000000000001</v>
      </c>
      <c r="F190">
        <v>2.8188</v>
      </c>
      <c r="G190">
        <v>0.81769999999999998</v>
      </c>
      <c r="H190">
        <v>-0.53200000000000003</v>
      </c>
      <c r="I190">
        <v>-0.12</v>
      </c>
      <c r="J190">
        <v>3.0611999999999999</v>
      </c>
      <c r="K190">
        <v>1.5721000000000001</v>
      </c>
      <c r="L190">
        <v>0.46899999999999997</v>
      </c>
      <c r="M190">
        <v>0.124</v>
      </c>
      <c r="N190">
        <v>12.12</v>
      </c>
      <c r="O190">
        <v>262.96499999999997</v>
      </c>
      <c r="P190">
        <v>95.132000000000005</v>
      </c>
      <c r="Q190">
        <v>122.0521</v>
      </c>
      <c r="R190">
        <v>4.0492999999999997</v>
      </c>
      <c r="S190">
        <v>73.25</v>
      </c>
      <c r="T190">
        <v>82.72</v>
      </c>
      <c r="U190">
        <v>334.64</v>
      </c>
      <c r="V190">
        <v>824.73</v>
      </c>
      <c r="W190">
        <v>2184.0100000000002</v>
      </c>
      <c r="X190">
        <v>1047.9100000000001</v>
      </c>
      <c r="Y190">
        <v>79342.42</v>
      </c>
      <c r="Z190">
        <v>11.699299999999999</v>
      </c>
      <c r="AA190">
        <v>11.4183</v>
      </c>
      <c r="AB190">
        <v>12.2957</v>
      </c>
      <c r="AC190">
        <v>10.3034</v>
      </c>
      <c r="AD190">
        <v>9.2899999999999991</v>
      </c>
      <c r="AE190">
        <v>7.98</v>
      </c>
      <c r="AF190">
        <v>6.39</v>
      </c>
      <c r="AG190">
        <v>1.1604000000000001</v>
      </c>
      <c r="AH190">
        <v>113.7</v>
      </c>
      <c r="AI190">
        <v>1.3030999999999999</v>
      </c>
      <c r="AJ190">
        <v>1.2907999999999999</v>
      </c>
      <c r="AK190">
        <v>8.8894000000000002</v>
      </c>
      <c r="AL190">
        <v>0.98170000000000002</v>
      </c>
      <c r="AM190">
        <v>186.63</v>
      </c>
      <c r="AN190">
        <v>105.73</v>
      </c>
      <c r="AO190">
        <v>100.82</v>
      </c>
      <c r="AP190">
        <v>96.23</v>
      </c>
      <c r="AQ190">
        <v>94.74</v>
      </c>
    </row>
    <row r="191" spans="1:43" x14ac:dyDescent="0.25">
      <c r="A191" s="1">
        <v>43404</v>
      </c>
      <c r="B191">
        <v>2.3250999999999999</v>
      </c>
      <c r="C191">
        <v>0.71199999999999997</v>
      </c>
      <c r="D191">
        <v>-0.85399999999999998</v>
      </c>
      <c r="E191">
        <v>-0.35399999999999998</v>
      </c>
      <c r="F191">
        <v>2.8668999999999998</v>
      </c>
      <c r="G191">
        <v>0.74429999999999996</v>
      </c>
      <c r="H191">
        <v>-0.624</v>
      </c>
      <c r="I191">
        <v>-0.128</v>
      </c>
      <c r="J191">
        <v>3.1435</v>
      </c>
      <c r="K191">
        <v>1.4355</v>
      </c>
      <c r="L191">
        <v>0.38400000000000001</v>
      </c>
      <c r="M191">
        <v>0.122</v>
      </c>
      <c r="N191">
        <v>21.23</v>
      </c>
      <c r="O191">
        <v>204.30500000000001</v>
      </c>
      <c r="P191">
        <v>97.126999999999995</v>
      </c>
      <c r="Q191">
        <v>122.6306</v>
      </c>
      <c r="R191">
        <v>3.7223999999999999</v>
      </c>
      <c r="S191">
        <v>65.31</v>
      </c>
      <c r="T191">
        <v>75.47</v>
      </c>
      <c r="U191">
        <v>336.4</v>
      </c>
      <c r="V191">
        <v>831</v>
      </c>
      <c r="W191">
        <v>2021.98</v>
      </c>
      <c r="X191">
        <v>955.92</v>
      </c>
      <c r="Y191">
        <v>87423.55</v>
      </c>
      <c r="Z191">
        <v>9.7972000000000001</v>
      </c>
      <c r="AA191">
        <v>9.5350999999999999</v>
      </c>
      <c r="AB191">
        <v>10.3691</v>
      </c>
      <c r="AC191">
        <v>8.7360000000000007</v>
      </c>
      <c r="AD191">
        <v>8.0050000000000008</v>
      </c>
      <c r="AE191">
        <v>7.0202</v>
      </c>
      <c r="AF191">
        <v>6.4</v>
      </c>
      <c r="AG191">
        <v>1.1312</v>
      </c>
      <c r="AH191">
        <v>112.94</v>
      </c>
      <c r="AI191">
        <v>1.2766</v>
      </c>
      <c r="AJ191">
        <v>1.3157000000000001</v>
      </c>
      <c r="AK191">
        <v>9.1654</v>
      </c>
      <c r="AL191">
        <v>1.0085</v>
      </c>
      <c r="AM191">
        <v>186.63</v>
      </c>
      <c r="AN191">
        <v>111.62</v>
      </c>
      <c r="AO191">
        <v>102.31</v>
      </c>
      <c r="AP191">
        <v>96.53</v>
      </c>
      <c r="AQ191">
        <v>97.73</v>
      </c>
    </row>
    <row r="192" spans="1:43" x14ac:dyDescent="0.25">
      <c r="A192" s="1">
        <v>43434</v>
      </c>
      <c r="B192">
        <v>2.3424</v>
      </c>
      <c r="C192">
        <v>0.72499999999999998</v>
      </c>
      <c r="D192">
        <v>-0.76600000000000001</v>
      </c>
      <c r="E192">
        <v>-0.19600000000000001</v>
      </c>
      <c r="F192">
        <v>2.7865000000000002</v>
      </c>
      <c r="G192">
        <v>0.76359999999999995</v>
      </c>
      <c r="H192">
        <v>-0.60199999999999998</v>
      </c>
      <c r="I192">
        <v>-0.13300000000000001</v>
      </c>
      <c r="J192">
        <v>2.9878999999999998</v>
      </c>
      <c r="K192">
        <v>1.3614999999999999</v>
      </c>
      <c r="L192">
        <v>0.312</v>
      </c>
      <c r="M192">
        <v>8.6999999999999994E-2</v>
      </c>
      <c r="N192">
        <v>18.07</v>
      </c>
      <c r="O192">
        <v>210.36600000000001</v>
      </c>
      <c r="P192">
        <v>97.272000000000006</v>
      </c>
      <c r="Q192">
        <v>124.249</v>
      </c>
      <c r="R192">
        <v>3.8662999999999998</v>
      </c>
      <c r="S192">
        <v>50.93</v>
      </c>
      <c r="T192">
        <v>58.71</v>
      </c>
      <c r="U192">
        <v>333.2</v>
      </c>
      <c r="V192">
        <v>840.61</v>
      </c>
      <c r="W192">
        <v>2041.36</v>
      </c>
      <c r="X192">
        <v>994.72</v>
      </c>
      <c r="Y192">
        <v>89504.03</v>
      </c>
      <c r="Z192">
        <v>9.5708000000000002</v>
      </c>
      <c r="AA192">
        <v>9.3312000000000008</v>
      </c>
      <c r="AB192">
        <v>10.0253</v>
      </c>
      <c r="AC192">
        <v>8.5963999999999992</v>
      </c>
      <c r="AD192">
        <v>7.8722000000000003</v>
      </c>
      <c r="AE192">
        <v>6.9207000000000001</v>
      </c>
      <c r="AF192">
        <v>6.4</v>
      </c>
      <c r="AG192">
        <v>1.1316999999999999</v>
      </c>
      <c r="AH192">
        <v>113.57</v>
      </c>
      <c r="AI192">
        <v>1.2748999999999999</v>
      </c>
      <c r="AJ192">
        <v>1.3291999999999999</v>
      </c>
      <c r="AK192">
        <v>9.1052</v>
      </c>
      <c r="AL192">
        <v>0.99790000000000001</v>
      </c>
      <c r="AM192">
        <v>186.63</v>
      </c>
      <c r="AN192">
        <v>104.28</v>
      </c>
      <c r="AO192">
        <v>102.16</v>
      </c>
      <c r="AP192">
        <v>96.86</v>
      </c>
      <c r="AQ192">
        <v>96.25</v>
      </c>
    </row>
    <row r="193" spans="1:43" x14ac:dyDescent="0.25">
      <c r="A193" s="1">
        <v>43465</v>
      </c>
      <c r="B193">
        <v>2.3549000000000002</v>
      </c>
      <c r="C193">
        <v>0.7</v>
      </c>
      <c r="D193">
        <v>-0.85</v>
      </c>
      <c r="E193">
        <v>-0.15</v>
      </c>
      <c r="F193">
        <v>2.4878</v>
      </c>
      <c r="G193">
        <v>0.74390000000000001</v>
      </c>
      <c r="H193">
        <v>-0.62</v>
      </c>
      <c r="I193">
        <v>-0.14699999999999999</v>
      </c>
      <c r="J193">
        <v>2.6842000000000001</v>
      </c>
      <c r="K193">
        <v>1.2746</v>
      </c>
      <c r="L193">
        <v>0.23899999999999999</v>
      </c>
      <c r="M193">
        <v>-5.0000000000000001E-3</v>
      </c>
      <c r="N193">
        <v>25.42</v>
      </c>
      <c r="O193">
        <v>207.51499999999999</v>
      </c>
      <c r="P193">
        <v>96.173000000000002</v>
      </c>
      <c r="Q193">
        <v>123.7744</v>
      </c>
      <c r="R193">
        <v>3.8744999999999998</v>
      </c>
      <c r="S193">
        <v>45.41</v>
      </c>
      <c r="T193">
        <v>53.8</v>
      </c>
      <c r="U193">
        <v>324.23</v>
      </c>
      <c r="V193">
        <v>829.87</v>
      </c>
      <c r="W193">
        <v>1883.9</v>
      </c>
      <c r="X193">
        <v>965.78</v>
      </c>
      <c r="Y193">
        <v>87887.26</v>
      </c>
      <c r="Z193">
        <v>9.1157000000000004</v>
      </c>
      <c r="AA193">
        <v>8.8632000000000009</v>
      </c>
      <c r="AB193">
        <v>9.5709999999999997</v>
      </c>
      <c r="AC193">
        <v>8.0780999999999992</v>
      </c>
      <c r="AD193">
        <v>7.3544</v>
      </c>
      <c r="AE193">
        <v>6.5475000000000003</v>
      </c>
      <c r="AF193">
        <v>6.4</v>
      </c>
      <c r="AG193">
        <v>1.1467000000000001</v>
      </c>
      <c r="AH193">
        <v>109.69</v>
      </c>
      <c r="AI193">
        <v>1.2754000000000001</v>
      </c>
      <c r="AJ193">
        <v>1.3636999999999999</v>
      </c>
      <c r="AK193">
        <v>8.8533000000000008</v>
      </c>
      <c r="AL193">
        <v>0.98209999999999997</v>
      </c>
      <c r="AM193">
        <v>186.63</v>
      </c>
      <c r="AN193">
        <v>90.84</v>
      </c>
      <c r="AO193">
        <v>102.01</v>
      </c>
      <c r="AP193">
        <v>97.19</v>
      </c>
      <c r="AQ193">
        <v>95.6</v>
      </c>
    </row>
    <row r="194" spans="1:43" x14ac:dyDescent="0.25">
      <c r="A194" s="1">
        <v>43496</v>
      </c>
      <c r="B194">
        <v>2.3839000000000001</v>
      </c>
      <c r="C194">
        <v>0.749</v>
      </c>
      <c r="D194">
        <v>-0.55300000000000005</v>
      </c>
      <c r="E194">
        <v>-0.252</v>
      </c>
      <c r="F194">
        <v>2.4575999999999998</v>
      </c>
      <c r="G194">
        <v>0.74399999999999999</v>
      </c>
      <c r="H194">
        <v>-0.56899999999999995</v>
      </c>
      <c r="I194">
        <v>-0.16900000000000001</v>
      </c>
      <c r="J194">
        <v>2.6293000000000002</v>
      </c>
      <c r="K194">
        <v>1.2166999999999999</v>
      </c>
      <c r="L194">
        <v>0.14799999999999999</v>
      </c>
      <c r="M194">
        <v>-2E-3</v>
      </c>
      <c r="N194">
        <v>16.57</v>
      </c>
      <c r="O194">
        <v>166.26599999999999</v>
      </c>
      <c r="P194">
        <v>95.578000000000003</v>
      </c>
      <c r="Q194">
        <v>121.21769999999999</v>
      </c>
      <c r="R194">
        <v>3.6467999999999998</v>
      </c>
      <c r="S194">
        <v>53.79</v>
      </c>
      <c r="T194">
        <v>61.89</v>
      </c>
      <c r="U194">
        <v>330.72</v>
      </c>
      <c r="V194">
        <v>855.15</v>
      </c>
      <c r="W194">
        <v>2028.49</v>
      </c>
      <c r="X194">
        <v>1049.93</v>
      </c>
      <c r="Y194">
        <v>97393.74</v>
      </c>
      <c r="Z194">
        <v>8.6526999999999994</v>
      </c>
      <c r="AA194">
        <v>8.4453999999999994</v>
      </c>
      <c r="AB194">
        <v>9.1547999999999998</v>
      </c>
      <c r="AC194">
        <v>7.7119999999999997</v>
      </c>
      <c r="AD194">
        <v>7.0763999999999996</v>
      </c>
      <c r="AE194">
        <v>6.4206000000000003</v>
      </c>
      <c r="AF194">
        <v>6.4</v>
      </c>
      <c r="AG194">
        <v>1.1448</v>
      </c>
      <c r="AH194">
        <v>108.89</v>
      </c>
      <c r="AI194">
        <v>1.3109</v>
      </c>
      <c r="AJ194">
        <v>1.3125</v>
      </c>
      <c r="AK194">
        <v>9.0477000000000007</v>
      </c>
      <c r="AL194">
        <v>0.99419999999999997</v>
      </c>
      <c r="AM194">
        <v>186.63</v>
      </c>
      <c r="AN194">
        <v>94.02</v>
      </c>
      <c r="AO194">
        <v>101.5</v>
      </c>
      <c r="AP194">
        <v>97</v>
      </c>
      <c r="AQ194">
        <v>93.37</v>
      </c>
    </row>
    <row r="195" spans="1:43" x14ac:dyDescent="0.25">
      <c r="A195" s="1">
        <v>43524</v>
      </c>
      <c r="B195">
        <v>2.4325999999999999</v>
      </c>
      <c r="C195">
        <v>0.54900000000000004</v>
      </c>
      <c r="D195">
        <v>-0.53900000000000003</v>
      </c>
      <c r="E195">
        <v>-0.193</v>
      </c>
      <c r="F195">
        <v>2.5141</v>
      </c>
      <c r="G195">
        <v>0.81920000000000004</v>
      </c>
      <c r="H195">
        <v>-0.52800000000000002</v>
      </c>
      <c r="I195">
        <v>-0.158</v>
      </c>
      <c r="J195">
        <v>2.7149999999999999</v>
      </c>
      <c r="K195">
        <v>1.3005</v>
      </c>
      <c r="L195">
        <v>0.182</v>
      </c>
      <c r="M195">
        <v>-2.8000000000000001E-2</v>
      </c>
      <c r="N195">
        <v>14.78</v>
      </c>
      <c r="O195">
        <v>156.22300000000001</v>
      </c>
      <c r="P195">
        <v>96.156999999999996</v>
      </c>
      <c r="Q195">
        <v>120.8695</v>
      </c>
      <c r="R195">
        <v>3.7568000000000001</v>
      </c>
      <c r="S195">
        <v>57.22</v>
      </c>
      <c r="T195">
        <v>66.03</v>
      </c>
      <c r="U195">
        <v>324.64999999999998</v>
      </c>
      <c r="V195">
        <v>876.21</v>
      </c>
      <c r="W195">
        <v>2085.84</v>
      </c>
      <c r="X195">
        <v>1050.95</v>
      </c>
      <c r="Y195">
        <v>95584.35</v>
      </c>
      <c r="Z195">
        <v>8.8170999999999999</v>
      </c>
      <c r="AA195">
        <v>8.6051000000000002</v>
      </c>
      <c r="AB195">
        <v>9.2780000000000005</v>
      </c>
      <c r="AC195">
        <v>7.8840000000000003</v>
      </c>
      <c r="AD195">
        <v>7.2823000000000002</v>
      </c>
      <c r="AE195">
        <v>6.5469999999999997</v>
      </c>
      <c r="AF195">
        <v>6.4</v>
      </c>
      <c r="AG195">
        <v>1.1371</v>
      </c>
      <c r="AH195">
        <v>111.39</v>
      </c>
      <c r="AI195">
        <v>1.3263</v>
      </c>
      <c r="AJ195">
        <v>1.3171999999999999</v>
      </c>
      <c r="AK195">
        <v>9.2385999999999999</v>
      </c>
      <c r="AL195">
        <v>0.99819999999999998</v>
      </c>
      <c r="AM195">
        <v>186.63</v>
      </c>
      <c r="AN195">
        <v>92.15</v>
      </c>
      <c r="AO195">
        <v>101.83</v>
      </c>
      <c r="AP195">
        <v>96.32</v>
      </c>
      <c r="AQ195">
        <v>93.57</v>
      </c>
    </row>
    <row r="196" spans="1:43" x14ac:dyDescent="0.25">
      <c r="A196" s="1">
        <v>43553</v>
      </c>
      <c r="B196">
        <v>2.3809</v>
      </c>
      <c r="C196">
        <v>0.77</v>
      </c>
      <c r="D196">
        <v>-0.55500000000000005</v>
      </c>
      <c r="E196">
        <v>-0.17299999999999999</v>
      </c>
      <c r="F196">
        <v>2.2599999999999998</v>
      </c>
      <c r="G196">
        <v>0.62660000000000005</v>
      </c>
      <c r="H196">
        <v>-0.61099999999999999</v>
      </c>
      <c r="I196">
        <v>-0.18</v>
      </c>
      <c r="J196">
        <v>2.4049999999999998</v>
      </c>
      <c r="K196">
        <v>0.99660000000000004</v>
      </c>
      <c r="L196">
        <v>-7.1999999999999995E-2</v>
      </c>
      <c r="M196">
        <v>-9.0999999999999998E-2</v>
      </c>
      <c r="N196">
        <v>13.71</v>
      </c>
      <c r="O196">
        <v>179.661</v>
      </c>
      <c r="P196">
        <v>97.284000000000006</v>
      </c>
      <c r="Q196">
        <v>121.0568</v>
      </c>
      <c r="R196">
        <v>3.9205000000000001</v>
      </c>
      <c r="S196">
        <v>60.14</v>
      </c>
      <c r="T196">
        <v>68.39</v>
      </c>
      <c r="U196">
        <v>342.35</v>
      </c>
      <c r="V196">
        <v>896.25</v>
      </c>
      <c r="W196">
        <v>2107.7399999999998</v>
      </c>
      <c r="X196">
        <v>1058.1300000000001</v>
      </c>
      <c r="Y196">
        <v>95414.55</v>
      </c>
      <c r="Z196">
        <v>8.7771000000000008</v>
      </c>
      <c r="AA196">
        <v>8.5957000000000008</v>
      </c>
      <c r="AB196">
        <v>9.2274999999999991</v>
      </c>
      <c r="AC196">
        <v>7.9130000000000003</v>
      </c>
      <c r="AD196">
        <v>7.3468999999999998</v>
      </c>
      <c r="AE196">
        <v>6.5970000000000004</v>
      </c>
      <c r="AF196">
        <v>6.4</v>
      </c>
      <c r="AG196">
        <v>1.1217999999999999</v>
      </c>
      <c r="AH196">
        <v>110.86</v>
      </c>
      <c r="AI196">
        <v>1.3035000000000001</v>
      </c>
      <c r="AJ196">
        <v>1.3349</v>
      </c>
      <c r="AK196">
        <v>9.2917000000000005</v>
      </c>
      <c r="AL196">
        <v>0.99519999999999997</v>
      </c>
      <c r="AM196">
        <v>186.63</v>
      </c>
      <c r="AN196">
        <v>94.4</v>
      </c>
      <c r="AO196">
        <v>101.24</v>
      </c>
      <c r="AP196">
        <v>95.75</v>
      </c>
      <c r="AQ196">
        <v>97.06</v>
      </c>
    </row>
    <row r="197" spans="1:43" x14ac:dyDescent="0.25">
      <c r="A197" s="1">
        <v>43585</v>
      </c>
      <c r="B197">
        <v>2.4098999999999999</v>
      </c>
      <c r="C197">
        <v>0.74199999999999999</v>
      </c>
      <c r="D197">
        <v>-0.57399999999999995</v>
      </c>
      <c r="E197">
        <v>-0.17699999999999999</v>
      </c>
      <c r="F197">
        <v>2.2660999999999998</v>
      </c>
      <c r="G197">
        <v>0.75749999999999995</v>
      </c>
      <c r="H197">
        <v>-0.59</v>
      </c>
      <c r="I197">
        <v>-0.155</v>
      </c>
      <c r="J197">
        <v>2.5017999999999998</v>
      </c>
      <c r="K197">
        <v>1.1833</v>
      </c>
      <c r="L197">
        <v>1.2E-2</v>
      </c>
      <c r="M197">
        <v>-4.8000000000000001E-2</v>
      </c>
      <c r="N197">
        <v>13.12</v>
      </c>
      <c r="O197">
        <v>172.51</v>
      </c>
      <c r="P197">
        <v>97.478999999999999</v>
      </c>
      <c r="Q197">
        <v>120.7702</v>
      </c>
      <c r="R197">
        <v>3.9209999999999998</v>
      </c>
      <c r="S197">
        <v>63.91</v>
      </c>
      <c r="T197">
        <v>72.8</v>
      </c>
      <c r="U197">
        <v>341.96</v>
      </c>
      <c r="V197">
        <v>859.85</v>
      </c>
      <c r="W197">
        <v>2178.67</v>
      </c>
      <c r="X197">
        <v>1079.24</v>
      </c>
      <c r="Y197">
        <v>96353.33</v>
      </c>
      <c r="Z197">
        <v>8.7979000000000003</v>
      </c>
      <c r="AA197">
        <v>8.5528999999999993</v>
      </c>
      <c r="AB197">
        <v>9.2288999999999994</v>
      </c>
      <c r="AC197">
        <v>7.9507000000000003</v>
      </c>
      <c r="AD197">
        <v>7.3724999999999996</v>
      </c>
      <c r="AE197">
        <v>6.5640999999999998</v>
      </c>
      <c r="AF197">
        <v>6.4</v>
      </c>
      <c r="AG197">
        <v>1.1214999999999999</v>
      </c>
      <c r="AH197">
        <v>111.42</v>
      </c>
      <c r="AI197">
        <v>1.3031999999999999</v>
      </c>
      <c r="AJ197">
        <v>1.3388</v>
      </c>
      <c r="AK197">
        <v>9.4883000000000006</v>
      </c>
      <c r="AL197">
        <v>1.0193000000000001</v>
      </c>
      <c r="AM197">
        <v>186.63</v>
      </c>
      <c r="AN197">
        <v>97.13</v>
      </c>
      <c r="AO197">
        <v>101.86</v>
      </c>
      <c r="AP197">
        <v>95.85</v>
      </c>
      <c r="AQ197">
        <v>97.44</v>
      </c>
    </row>
    <row r="198" spans="1:43" x14ac:dyDescent="0.25">
      <c r="A198" s="1">
        <v>43616</v>
      </c>
      <c r="B198">
        <v>2.3399000000000001</v>
      </c>
      <c r="C198">
        <v>0.73099999999999998</v>
      </c>
      <c r="D198">
        <v>-0.56899999999999995</v>
      </c>
      <c r="E198">
        <v>-0.16</v>
      </c>
      <c r="F198">
        <v>1.9220999999999999</v>
      </c>
      <c r="G198">
        <v>0.59499999999999997</v>
      </c>
      <c r="H198">
        <v>-0.67300000000000004</v>
      </c>
      <c r="I198">
        <v>-0.17799999999999999</v>
      </c>
      <c r="J198">
        <v>2.1246</v>
      </c>
      <c r="K198">
        <v>0.88529999999999998</v>
      </c>
      <c r="L198">
        <v>-0.20399999999999999</v>
      </c>
      <c r="M198">
        <v>-0.1</v>
      </c>
      <c r="N198">
        <v>18.71</v>
      </c>
      <c r="O198">
        <v>181.328</v>
      </c>
      <c r="P198">
        <v>97.75</v>
      </c>
      <c r="Q198">
        <v>122.5117</v>
      </c>
      <c r="R198">
        <v>3.9232</v>
      </c>
      <c r="S198">
        <v>53.5</v>
      </c>
      <c r="T198">
        <v>64.489999999999995</v>
      </c>
      <c r="U198">
        <v>351.63</v>
      </c>
      <c r="V198">
        <v>800.23</v>
      </c>
      <c r="W198">
        <v>2046.25</v>
      </c>
      <c r="X198">
        <v>998</v>
      </c>
      <c r="Y198">
        <v>97030.32</v>
      </c>
      <c r="Z198">
        <v>8.2096</v>
      </c>
      <c r="AA198">
        <v>8.0206</v>
      </c>
      <c r="AB198">
        <v>8.7273999999999994</v>
      </c>
      <c r="AC198">
        <v>7.2933000000000003</v>
      </c>
      <c r="AD198">
        <v>6.7483000000000004</v>
      </c>
      <c r="AE198">
        <v>6.2750000000000004</v>
      </c>
      <c r="AF198">
        <v>6.4</v>
      </c>
      <c r="AG198">
        <v>1.1169</v>
      </c>
      <c r="AH198">
        <v>108.29</v>
      </c>
      <c r="AI198">
        <v>1.2628999999999999</v>
      </c>
      <c r="AJ198">
        <v>1.3515999999999999</v>
      </c>
      <c r="AK198">
        <v>9.4961000000000002</v>
      </c>
      <c r="AL198">
        <v>1.0005999999999999</v>
      </c>
      <c r="AM198">
        <v>186.63</v>
      </c>
      <c r="AN198">
        <v>106.04</v>
      </c>
      <c r="AO198">
        <v>101.81</v>
      </c>
      <c r="AP198">
        <v>97.17</v>
      </c>
      <c r="AQ198">
        <v>97.35</v>
      </c>
    </row>
    <row r="199" spans="1:43" x14ac:dyDescent="0.25">
      <c r="A199" s="1">
        <v>43644</v>
      </c>
      <c r="B199">
        <v>2.0868000000000002</v>
      </c>
      <c r="C199">
        <v>0.74099999999999999</v>
      </c>
      <c r="D199">
        <v>-0.60299999999999998</v>
      </c>
      <c r="E199">
        <v>-0.126</v>
      </c>
      <c r="F199">
        <v>1.7548999999999999</v>
      </c>
      <c r="G199">
        <v>0.61029999999999995</v>
      </c>
      <c r="H199">
        <v>-0.75800000000000001</v>
      </c>
      <c r="I199">
        <v>-0.224</v>
      </c>
      <c r="J199">
        <v>2.0051000000000001</v>
      </c>
      <c r="K199">
        <v>0.83130000000000004</v>
      </c>
      <c r="L199">
        <v>-0.32900000000000001</v>
      </c>
      <c r="M199">
        <v>-0.16400000000000001</v>
      </c>
      <c r="N199">
        <v>15.08</v>
      </c>
      <c r="O199">
        <v>150.404</v>
      </c>
      <c r="P199">
        <v>96.13</v>
      </c>
      <c r="Q199">
        <v>122.5521</v>
      </c>
      <c r="R199">
        <v>3.8498999999999999</v>
      </c>
      <c r="S199">
        <v>58.47</v>
      </c>
      <c r="T199">
        <v>66.55</v>
      </c>
      <c r="U199">
        <v>347.78</v>
      </c>
      <c r="V199">
        <v>776.71</v>
      </c>
      <c r="W199">
        <v>2178.35</v>
      </c>
      <c r="X199">
        <v>1054.8599999999999</v>
      </c>
      <c r="Y199">
        <v>100967.2</v>
      </c>
      <c r="Z199">
        <v>7.2815000000000003</v>
      </c>
      <c r="AA199">
        <v>7.0232999999999999</v>
      </c>
      <c r="AB199">
        <v>7.7072000000000003</v>
      </c>
      <c r="AC199">
        <v>6.4984000000000002</v>
      </c>
      <c r="AD199">
        <v>6.0785999999999998</v>
      </c>
      <c r="AE199">
        <v>5.81</v>
      </c>
      <c r="AF199">
        <v>6.4</v>
      </c>
      <c r="AG199">
        <v>1.1373</v>
      </c>
      <c r="AH199">
        <v>107.85</v>
      </c>
      <c r="AI199">
        <v>1.2696000000000001</v>
      </c>
      <c r="AJ199">
        <v>1.3095000000000001</v>
      </c>
      <c r="AK199">
        <v>9.2844999999999995</v>
      </c>
      <c r="AL199">
        <v>0.97629999999999995</v>
      </c>
      <c r="AM199">
        <v>186.63</v>
      </c>
      <c r="AN199">
        <v>99.99</v>
      </c>
      <c r="AO199">
        <v>100.81</v>
      </c>
      <c r="AP199">
        <v>96.54</v>
      </c>
      <c r="AQ199">
        <v>94.36</v>
      </c>
    </row>
    <row r="200" spans="1:43" x14ac:dyDescent="0.25">
      <c r="A200" s="1">
        <v>43677</v>
      </c>
      <c r="B200">
        <v>2.0615999999999999</v>
      </c>
      <c r="C200">
        <v>0.71399999999999997</v>
      </c>
      <c r="D200">
        <v>-0.59899999999999998</v>
      </c>
      <c r="E200">
        <v>-0.123</v>
      </c>
      <c r="F200">
        <v>1.8721000000000001</v>
      </c>
      <c r="G200">
        <v>0.42709999999999998</v>
      </c>
      <c r="H200">
        <v>-0.78500000000000003</v>
      </c>
      <c r="I200">
        <v>-0.21</v>
      </c>
      <c r="J200">
        <v>2.0144000000000002</v>
      </c>
      <c r="K200">
        <v>0.60929999999999995</v>
      </c>
      <c r="L200">
        <v>-0.442</v>
      </c>
      <c r="M200">
        <v>-0.159</v>
      </c>
      <c r="N200">
        <v>16.12</v>
      </c>
      <c r="O200">
        <v>127.2</v>
      </c>
      <c r="P200">
        <v>98.516000000000005</v>
      </c>
      <c r="Q200">
        <v>121.65089999999999</v>
      </c>
      <c r="R200">
        <v>3.8148</v>
      </c>
      <c r="S200">
        <v>58.58</v>
      </c>
      <c r="T200">
        <v>65.17</v>
      </c>
      <c r="U200">
        <v>346.52</v>
      </c>
      <c r="V200">
        <v>748.29</v>
      </c>
      <c r="W200">
        <v>2187.56</v>
      </c>
      <c r="X200">
        <v>1037.01</v>
      </c>
      <c r="Y200">
        <v>101812.1</v>
      </c>
      <c r="Z200">
        <v>6.9759000000000002</v>
      </c>
      <c r="AA200">
        <v>6.8173000000000004</v>
      </c>
      <c r="AB200">
        <v>7.4843999999999999</v>
      </c>
      <c r="AC200">
        <v>6.1798000000000002</v>
      </c>
      <c r="AD200">
        <v>5.7511000000000001</v>
      </c>
      <c r="AE200">
        <v>5.4306999999999999</v>
      </c>
      <c r="AF200">
        <v>6.4</v>
      </c>
      <c r="AG200">
        <v>1.1075999999999999</v>
      </c>
      <c r="AH200">
        <v>108.78</v>
      </c>
      <c r="AI200">
        <v>1.2159</v>
      </c>
      <c r="AJ200">
        <v>1.3190999999999999</v>
      </c>
      <c r="AK200">
        <v>9.6652000000000005</v>
      </c>
      <c r="AL200">
        <v>0.99399999999999999</v>
      </c>
      <c r="AM200">
        <v>186.63</v>
      </c>
      <c r="AN200">
        <v>108.88</v>
      </c>
      <c r="AO200">
        <v>100.29</v>
      </c>
      <c r="AP200">
        <v>96.31</v>
      </c>
      <c r="AQ200">
        <v>99.95</v>
      </c>
    </row>
    <row r="201" spans="1:43" x14ac:dyDescent="0.25">
      <c r="A201" s="1">
        <v>43707</v>
      </c>
      <c r="B201">
        <v>1.9764999999999999</v>
      </c>
      <c r="C201">
        <v>0.73599999999999999</v>
      </c>
      <c r="D201">
        <v>-0.74</v>
      </c>
      <c r="E201">
        <v>-0.17</v>
      </c>
      <c r="F201">
        <v>1.504</v>
      </c>
      <c r="G201">
        <v>0.38429999999999997</v>
      </c>
      <c r="H201">
        <v>-0.93300000000000005</v>
      </c>
      <c r="I201">
        <v>-0.308</v>
      </c>
      <c r="J201">
        <v>1.4961</v>
      </c>
      <c r="K201">
        <v>0.47739999999999999</v>
      </c>
      <c r="L201">
        <v>-0.70199999999999996</v>
      </c>
      <c r="M201">
        <v>-0.27600000000000002</v>
      </c>
      <c r="N201">
        <v>18.98</v>
      </c>
      <c r="O201">
        <v>135.54900000000001</v>
      </c>
      <c r="P201">
        <v>98.915999999999997</v>
      </c>
      <c r="Q201">
        <v>125.0817</v>
      </c>
      <c r="R201">
        <v>4.1452999999999998</v>
      </c>
      <c r="S201">
        <v>55.1</v>
      </c>
      <c r="T201">
        <v>60.43</v>
      </c>
      <c r="U201">
        <v>317.41000000000003</v>
      </c>
      <c r="V201">
        <v>734.62</v>
      </c>
      <c r="W201">
        <v>2138.52</v>
      </c>
      <c r="X201">
        <v>984.33</v>
      </c>
      <c r="Y201">
        <v>101134.6</v>
      </c>
      <c r="Z201">
        <v>7.2064000000000004</v>
      </c>
      <c r="AA201">
        <v>7.0530999999999997</v>
      </c>
      <c r="AB201">
        <v>7.6731999999999996</v>
      </c>
      <c r="AC201">
        <v>6.4501999999999997</v>
      </c>
      <c r="AD201">
        <v>5.9424000000000001</v>
      </c>
      <c r="AE201">
        <v>5.391</v>
      </c>
      <c r="AF201">
        <v>5.9</v>
      </c>
      <c r="AG201">
        <v>1.0982000000000001</v>
      </c>
      <c r="AH201">
        <v>106.28</v>
      </c>
      <c r="AI201">
        <v>1.2156</v>
      </c>
      <c r="AJ201">
        <v>1.3310999999999999</v>
      </c>
      <c r="AK201">
        <v>9.8404000000000007</v>
      </c>
      <c r="AL201">
        <v>0.99039999999999995</v>
      </c>
      <c r="AM201">
        <v>186.63</v>
      </c>
      <c r="AN201">
        <v>112.11</v>
      </c>
      <c r="AO201">
        <v>101.35</v>
      </c>
      <c r="AP201">
        <v>96.58</v>
      </c>
      <c r="AQ201">
        <v>99.28</v>
      </c>
    </row>
    <row r="202" spans="1:43" x14ac:dyDescent="0.25">
      <c r="A202" s="1">
        <v>43738</v>
      </c>
      <c r="B202">
        <v>1.8070999999999999</v>
      </c>
      <c r="C202">
        <v>0.76300000000000001</v>
      </c>
      <c r="D202">
        <v>-0.59799999999999998</v>
      </c>
      <c r="E202">
        <v>-0.377</v>
      </c>
      <c r="F202">
        <v>1.6216999999999999</v>
      </c>
      <c r="G202">
        <v>0.36399999999999999</v>
      </c>
      <c r="H202">
        <v>-0.77300000000000002</v>
      </c>
      <c r="I202">
        <v>-0.32400000000000001</v>
      </c>
      <c r="J202">
        <v>1.6646000000000001</v>
      </c>
      <c r="K202">
        <v>0.48309999999999997</v>
      </c>
      <c r="L202">
        <v>-0.57299999999999995</v>
      </c>
      <c r="M202">
        <v>-0.22</v>
      </c>
      <c r="N202">
        <v>16.239999999999998</v>
      </c>
      <c r="O202">
        <v>136.542</v>
      </c>
      <c r="P202">
        <v>99.376999999999995</v>
      </c>
      <c r="Q202">
        <v>125.06019999999999</v>
      </c>
      <c r="R202">
        <v>4.1562000000000001</v>
      </c>
      <c r="S202">
        <v>54.07</v>
      </c>
      <c r="T202">
        <v>60.78</v>
      </c>
      <c r="U202">
        <v>323.11</v>
      </c>
      <c r="V202">
        <v>720.49</v>
      </c>
      <c r="W202">
        <v>2180.02</v>
      </c>
      <c r="X202">
        <v>1001</v>
      </c>
      <c r="Y202">
        <v>104745.3</v>
      </c>
      <c r="Z202">
        <v>6.8079000000000001</v>
      </c>
      <c r="AA202">
        <v>6.6203000000000003</v>
      </c>
      <c r="AB202">
        <v>7.2919999999999998</v>
      </c>
      <c r="AC202">
        <v>5.97</v>
      </c>
      <c r="AD202">
        <v>5.44</v>
      </c>
      <c r="AE202">
        <v>4.8691000000000004</v>
      </c>
      <c r="AF202">
        <v>5.4</v>
      </c>
      <c r="AG202">
        <v>1.0899000000000001</v>
      </c>
      <c r="AH202">
        <v>108.08</v>
      </c>
      <c r="AI202">
        <v>1.2289000000000001</v>
      </c>
      <c r="AJ202">
        <v>1.3241000000000001</v>
      </c>
      <c r="AK202">
        <v>9.8402999999999992</v>
      </c>
      <c r="AL202">
        <v>0.99770000000000003</v>
      </c>
      <c r="AM202">
        <v>186.63</v>
      </c>
      <c r="AN202">
        <v>106.94</v>
      </c>
      <c r="AO202">
        <v>101.35</v>
      </c>
      <c r="AP202">
        <v>96.93</v>
      </c>
      <c r="AQ202">
        <v>96.52</v>
      </c>
    </row>
    <row r="203" spans="1:43" x14ac:dyDescent="0.25">
      <c r="A203" s="1">
        <v>43769</v>
      </c>
      <c r="B203">
        <v>1.524</v>
      </c>
      <c r="C203">
        <v>0.75600000000000001</v>
      </c>
      <c r="D203">
        <v>-0.64300000000000002</v>
      </c>
      <c r="E203">
        <v>-0.19800000000000001</v>
      </c>
      <c r="F203">
        <v>1.5239</v>
      </c>
      <c r="G203">
        <v>0.49859999999999999</v>
      </c>
      <c r="H203">
        <v>-0.66800000000000004</v>
      </c>
      <c r="I203">
        <v>-0.23699999999999999</v>
      </c>
      <c r="J203">
        <v>1.6910000000000001</v>
      </c>
      <c r="K203">
        <v>0.62719999999999998</v>
      </c>
      <c r="L203">
        <v>-0.40899999999999997</v>
      </c>
      <c r="M203">
        <v>-0.14299999999999999</v>
      </c>
      <c r="N203">
        <v>13.22</v>
      </c>
      <c r="O203">
        <v>120.43</v>
      </c>
      <c r="P203">
        <v>97.352000000000004</v>
      </c>
      <c r="Q203">
        <v>124.35590000000001</v>
      </c>
      <c r="R203">
        <v>4.0183</v>
      </c>
      <c r="S203">
        <v>54.18</v>
      </c>
      <c r="T203">
        <v>60.23</v>
      </c>
      <c r="U203">
        <v>329.28</v>
      </c>
      <c r="V203">
        <v>722.86</v>
      </c>
      <c r="W203">
        <v>2233.5300000000002</v>
      </c>
      <c r="X203">
        <v>1041.98</v>
      </c>
      <c r="Y203">
        <v>107219.8</v>
      </c>
      <c r="Z203">
        <v>6.1982999999999997</v>
      </c>
      <c r="AA203">
        <v>6.0056000000000003</v>
      </c>
      <c r="AB203">
        <v>6.7519999999999998</v>
      </c>
      <c r="AC203">
        <v>5.3365</v>
      </c>
      <c r="AD203">
        <v>4.8731</v>
      </c>
      <c r="AE203">
        <v>4.4702000000000002</v>
      </c>
      <c r="AF203">
        <v>4.9000000000000004</v>
      </c>
      <c r="AG203">
        <v>1.1152</v>
      </c>
      <c r="AH203">
        <v>108.03</v>
      </c>
      <c r="AI203">
        <v>1.2942</v>
      </c>
      <c r="AJ203">
        <v>1.3164</v>
      </c>
      <c r="AK203">
        <v>9.6519999999999992</v>
      </c>
      <c r="AL203">
        <v>0.98640000000000005</v>
      </c>
      <c r="AM203">
        <v>186.63</v>
      </c>
      <c r="AN203">
        <v>113.06</v>
      </c>
      <c r="AO203">
        <v>103.67</v>
      </c>
      <c r="AP203">
        <v>98.07</v>
      </c>
      <c r="AQ203">
        <v>99.93</v>
      </c>
    </row>
    <row r="204" spans="1:43" x14ac:dyDescent="0.25">
      <c r="A204" s="1">
        <v>43798</v>
      </c>
      <c r="B204">
        <v>1.5671999999999999</v>
      </c>
      <c r="C204">
        <v>0.70599999999999996</v>
      </c>
      <c r="D204">
        <v>-0.65300000000000002</v>
      </c>
      <c r="E204">
        <v>-0.17499999999999999</v>
      </c>
      <c r="F204">
        <v>1.6119000000000001</v>
      </c>
      <c r="G204">
        <v>0.53990000000000005</v>
      </c>
      <c r="H204">
        <v>-0.63600000000000001</v>
      </c>
      <c r="I204">
        <v>-0.17699999999999999</v>
      </c>
      <c r="J204">
        <v>1.7758</v>
      </c>
      <c r="K204">
        <v>0.69579999999999997</v>
      </c>
      <c r="L204">
        <v>-0.36199999999999999</v>
      </c>
      <c r="M204">
        <v>-8.2000000000000003E-2</v>
      </c>
      <c r="N204">
        <v>12.62</v>
      </c>
      <c r="O204">
        <v>124.73099999999999</v>
      </c>
      <c r="P204">
        <v>98.272999999999996</v>
      </c>
      <c r="Q204">
        <v>123.9795</v>
      </c>
      <c r="R204">
        <v>4.2371999999999996</v>
      </c>
      <c r="S204">
        <v>55.17</v>
      </c>
      <c r="T204">
        <v>62.43</v>
      </c>
      <c r="U204">
        <v>324.26</v>
      </c>
      <c r="V204">
        <v>724.89</v>
      </c>
      <c r="W204">
        <v>2292.2600000000002</v>
      </c>
      <c r="X204">
        <v>1040.05</v>
      </c>
      <c r="Y204">
        <v>108233.3</v>
      </c>
      <c r="Z204">
        <v>6.6779000000000002</v>
      </c>
      <c r="AA204">
        <v>6.5102000000000002</v>
      </c>
      <c r="AB204">
        <v>7.1959999999999997</v>
      </c>
      <c r="AC204">
        <v>5.8609</v>
      </c>
      <c r="AD204">
        <v>5.3090000000000002</v>
      </c>
      <c r="AE204">
        <v>4.6631999999999998</v>
      </c>
      <c r="AF204">
        <v>4.9000000000000004</v>
      </c>
      <c r="AG204">
        <v>1.1017999999999999</v>
      </c>
      <c r="AH204">
        <v>109.49</v>
      </c>
      <c r="AI204">
        <v>1.2925</v>
      </c>
      <c r="AJ204">
        <v>1.3282</v>
      </c>
      <c r="AK204">
        <v>9.5749999999999993</v>
      </c>
      <c r="AL204">
        <v>1.0002</v>
      </c>
      <c r="AM204">
        <v>186.63</v>
      </c>
      <c r="AN204">
        <v>102.51</v>
      </c>
      <c r="AO204">
        <v>101.22</v>
      </c>
      <c r="AP204">
        <v>97.86</v>
      </c>
      <c r="AQ204">
        <v>97.13</v>
      </c>
    </row>
    <row r="205" spans="1:43" x14ac:dyDescent="0.25">
      <c r="A205" s="1">
        <v>43830</v>
      </c>
      <c r="B205">
        <v>1.5436000000000001</v>
      </c>
      <c r="C205">
        <v>0.68899999999999995</v>
      </c>
      <c r="D205">
        <v>-0.76300000000000001</v>
      </c>
      <c r="E205">
        <v>-0.11</v>
      </c>
      <c r="F205">
        <v>1.5690999999999999</v>
      </c>
      <c r="G205">
        <v>0.53069999999999995</v>
      </c>
      <c r="H205">
        <v>-0.61199999999999999</v>
      </c>
      <c r="I205">
        <v>-0.13400000000000001</v>
      </c>
      <c r="J205">
        <v>1.9175</v>
      </c>
      <c r="K205">
        <v>0.81689999999999996</v>
      </c>
      <c r="L205">
        <v>-0.188</v>
      </c>
      <c r="M205">
        <v>-0.02</v>
      </c>
      <c r="N205">
        <v>13.78</v>
      </c>
      <c r="O205">
        <v>99.45</v>
      </c>
      <c r="P205">
        <v>96.388999999999996</v>
      </c>
      <c r="Q205">
        <v>123.392</v>
      </c>
      <c r="R205">
        <v>4.0304000000000002</v>
      </c>
      <c r="S205">
        <v>61.06</v>
      </c>
      <c r="T205">
        <v>66</v>
      </c>
      <c r="U205">
        <v>338.48</v>
      </c>
      <c r="V205">
        <v>752.11</v>
      </c>
      <c r="W205">
        <v>2358.4699999999998</v>
      </c>
      <c r="X205">
        <v>1114.6600000000001</v>
      </c>
      <c r="Y205">
        <v>115645.3</v>
      </c>
      <c r="Z205">
        <v>6.6006999999999998</v>
      </c>
      <c r="AA205">
        <v>6.4314999999999998</v>
      </c>
      <c r="AB205">
        <v>7.0143000000000004</v>
      </c>
      <c r="AC205">
        <v>5.7919999999999998</v>
      </c>
      <c r="AD205">
        <v>5.28</v>
      </c>
      <c r="AE205">
        <v>4.5576999999999996</v>
      </c>
      <c r="AF205">
        <v>4.4000000000000004</v>
      </c>
      <c r="AG205">
        <v>1.1213</v>
      </c>
      <c r="AH205">
        <v>108.61</v>
      </c>
      <c r="AI205">
        <v>1.3257000000000001</v>
      </c>
      <c r="AJ205">
        <v>1.2989999999999999</v>
      </c>
      <c r="AK205">
        <v>9.3650000000000002</v>
      </c>
      <c r="AL205">
        <v>0.96660000000000001</v>
      </c>
      <c r="AM205">
        <v>186.63</v>
      </c>
      <c r="AN205">
        <v>89.65</v>
      </c>
      <c r="AO205">
        <v>99.8</v>
      </c>
      <c r="AP205">
        <v>97.52</v>
      </c>
      <c r="AQ205">
        <v>96.43</v>
      </c>
    </row>
    <row r="206" spans="1:43" x14ac:dyDescent="0.25">
      <c r="A206" s="1">
        <v>43861</v>
      </c>
      <c r="B206">
        <v>1.5382</v>
      </c>
      <c r="C206">
        <v>0.69699999999999995</v>
      </c>
      <c r="D206">
        <v>-0.59699999999999998</v>
      </c>
      <c r="E206">
        <v>-0.13400000000000001</v>
      </c>
      <c r="F206">
        <v>1.3131999999999999</v>
      </c>
      <c r="G206">
        <v>0.5</v>
      </c>
      <c r="H206">
        <v>-0.67400000000000004</v>
      </c>
      <c r="I206">
        <v>-0.156</v>
      </c>
      <c r="J206">
        <v>1.5067999999999999</v>
      </c>
      <c r="K206">
        <v>0.52329999999999999</v>
      </c>
      <c r="L206">
        <v>-0.436</v>
      </c>
      <c r="M206">
        <v>-7.1999999999999995E-2</v>
      </c>
      <c r="N206">
        <v>18.84</v>
      </c>
      <c r="O206">
        <v>102.65300000000001</v>
      </c>
      <c r="P206">
        <v>97.39</v>
      </c>
      <c r="Q206">
        <v>122.21129999999999</v>
      </c>
      <c r="R206">
        <v>4.2828999999999997</v>
      </c>
      <c r="S206">
        <v>51.56</v>
      </c>
      <c r="T206">
        <v>58.16</v>
      </c>
      <c r="U206">
        <v>336.02</v>
      </c>
      <c r="V206">
        <v>743.9</v>
      </c>
      <c r="W206">
        <v>2342.41</v>
      </c>
      <c r="X206">
        <v>1062.3399999999999</v>
      </c>
      <c r="Y206">
        <v>113760.6</v>
      </c>
      <c r="Z206">
        <v>6.4497999999999998</v>
      </c>
      <c r="AA206">
        <v>6.2324000000000002</v>
      </c>
      <c r="AB206">
        <v>6.9863999999999997</v>
      </c>
      <c r="AC206">
        <v>5.5697999999999999</v>
      </c>
      <c r="AD206">
        <v>5.0633999999999997</v>
      </c>
      <c r="AE206">
        <v>4.4267000000000003</v>
      </c>
      <c r="AF206">
        <v>4.4000000000000004</v>
      </c>
      <c r="AG206">
        <v>1.1093</v>
      </c>
      <c r="AH206">
        <v>108.35</v>
      </c>
      <c r="AI206">
        <v>1.3206</v>
      </c>
      <c r="AJ206">
        <v>1.3237000000000001</v>
      </c>
      <c r="AK206">
        <v>9.6248000000000005</v>
      </c>
      <c r="AL206">
        <v>0.96340000000000003</v>
      </c>
      <c r="AM206">
        <v>186.63</v>
      </c>
      <c r="AN206">
        <v>93.25</v>
      </c>
      <c r="AO206">
        <v>101.17</v>
      </c>
      <c r="AP206">
        <v>97.57</v>
      </c>
      <c r="AQ206">
        <v>93.67</v>
      </c>
    </row>
    <row r="207" spans="1:43" x14ac:dyDescent="0.25">
      <c r="A207" s="1">
        <v>43889</v>
      </c>
      <c r="B207">
        <v>1.2669999999999999</v>
      </c>
      <c r="C207">
        <v>0.63800000000000001</v>
      </c>
      <c r="D207">
        <v>-0.64200000000000002</v>
      </c>
      <c r="E207">
        <v>-0.17199999999999999</v>
      </c>
      <c r="F207">
        <v>0.91300000000000003</v>
      </c>
      <c r="G207">
        <v>0.30570000000000003</v>
      </c>
      <c r="H207">
        <v>-0.77600000000000002</v>
      </c>
      <c r="I207">
        <v>-0.25900000000000001</v>
      </c>
      <c r="J207">
        <v>1.1486000000000001</v>
      </c>
      <c r="K207">
        <v>0.44059999999999999</v>
      </c>
      <c r="L207">
        <v>-0.60899999999999999</v>
      </c>
      <c r="M207">
        <v>-0.159</v>
      </c>
      <c r="N207">
        <v>40.11</v>
      </c>
      <c r="O207">
        <v>131.97499999999999</v>
      </c>
      <c r="P207">
        <v>98.132000000000005</v>
      </c>
      <c r="Q207">
        <v>123.52509999999999</v>
      </c>
      <c r="R207">
        <v>4.4720000000000004</v>
      </c>
      <c r="S207">
        <v>44.76</v>
      </c>
      <c r="T207">
        <v>50.52</v>
      </c>
      <c r="U207">
        <v>325.54000000000002</v>
      </c>
      <c r="V207">
        <v>719.26</v>
      </c>
      <c r="W207">
        <v>2141.12</v>
      </c>
      <c r="X207">
        <v>1005.52</v>
      </c>
      <c r="Y207">
        <v>104171.6</v>
      </c>
      <c r="Z207">
        <v>6.3197000000000001</v>
      </c>
      <c r="AA207">
        <v>6.1898999999999997</v>
      </c>
      <c r="AB207">
        <v>7.0622999999999996</v>
      </c>
      <c r="AC207">
        <v>5.3356000000000003</v>
      </c>
      <c r="AD207">
        <v>4.7134</v>
      </c>
      <c r="AE207">
        <v>4.1577999999999999</v>
      </c>
      <c r="AF207">
        <v>4.1500000000000004</v>
      </c>
      <c r="AG207">
        <v>1.1026</v>
      </c>
      <c r="AH207">
        <v>107.89</v>
      </c>
      <c r="AI207">
        <v>1.2823</v>
      </c>
      <c r="AJ207">
        <v>1.3407</v>
      </c>
      <c r="AK207">
        <v>9.6050000000000004</v>
      </c>
      <c r="AL207">
        <v>0.96489999999999998</v>
      </c>
      <c r="AM207">
        <v>186.63</v>
      </c>
      <c r="AN207">
        <v>91.9</v>
      </c>
      <c r="AO207">
        <v>101.86</v>
      </c>
      <c r="AP207">
        <v>97.75</v>
      </c>
      <c r="AQ207">
        <v>93.96</v>
      </c>
    </row>
    <row r="208" spans="1:43" x14ac:dyDescent="0.25">
      <c r="A208" s="1">
        <v>43921</v>
      </c>
      <c r="B208">
        <v>6.0999999999999999E-2</v>
      </c>
      <c r="C208">
        <v>0.16400000000000001</v>
      </c>
      <c r="D208">
        <v>-0.70899999999999996</v>
      </c>
      <c r="E208">
        <v>-0.30099999999999999</v>
      </c>
      <c r="F208">
        <v>0.2455</v>
      </c>
      <c r="G208">
        <v>0.12330000000000001</v>
      </c>
      <c r="H208">
        <v>-0.70199999999999996</v>
      </c>
      <c r="I208">
        <v>-0.15</v>
      </c>
      <c r="J208">
        <v>0.66949999999999998</v>
      </c>
      <c r="K208">
        <v>0.35270000000000001</v>
      </c>
      <c r="L208">
        <v>-0.47399999999999998</v>
      </c>
      <c r="M208">
        <v>1.2E-2</v>
      </c>
      <c r="N208">
        <v>53.54</v>
      </c>
      <c r="O208">
        <v>275.95</v>
      </c>
      <c r="P208">
        <v>99.048000000000002</v>
      </c>
      <c r="Q208">
        <v>131.19110000000001</v>
      </c>
      <c r="R208">
        <v>5.2058999999999997</v>
      </c>
      <c r="S208">
        <v>20.48</v>
      </c>
      <c r="T208">
        <v>22.74</v>
      </c>
      <c r="U208">
        <v>308.22000000000003</v>
      </c>
      <c r="V208">
        <v>665.18</v>
      </c>
      <c r="W208">
        <v>1852.73</v>
      </c>
      <c r="X208">
        <v>848.58</v>
      </c>
      <c r="Y208">
        <v>73019.759999999995</v>
      </c>
      <c r="Z208">
        <v>6.9272</v>
      </c>
      <c r="AA208">
        <v>6.8552</v>
      </c>
      <c r="AB208">
        <v>8.0838999999999999</v>
      </c>
      <c r="AC208">
        <v>5.5739999999999998</v>
      </c>
      <c r="AD208">
        <v>4.3655999999999997</v>
      </c>
      <c r="AE208">
        <v>3.3433000000000002</v>
      </c>
      <c r="AF208">
        <v>3.65</v>
      </c>
      <c r="AG208">
        <v>1.1031</v>
      </c>
      <c r="AH208">
        <v>107.54</v>
      </c>
      <c r="AI208">
        <v>1.242</v>
      </c>
      <c r="AJ208">
        <v>1.4061999999999999</v>
      </c>
      <c r="AK208">
        <v>9.9052000000000007</v>
      </c>
      <c r="AL208">
        <v>0.96109999999999995</v>
      </c>
      <c r="AM208">
        <v>186.63</v>
      </c>
      <c r="AN208">
        <v>90.76</v>
      </c>
      <c r="AO208">
        <v>94</v>
      </c>
      <c r="AP208">
        <v>91.17</v>
      </c>
      <c r="AQ208">
        <v>95.29</v>
      </c>
    </row>
    <row r="209" spans="1:43" x14ac:dyDescent="0.25">
      <c r="A209" s="1">
        <v>43951</v>
      </c>
      <c r="B209">
        <v>7.8799999999999995E-2</v>
      </c>
      <c r="C209">
        <v>0.11700000000000001</v>
      </c>
      <c r="D209">
        <v>-0.59899999999999998</v>
      </c>
      <c r="E209">
        <v>-0.15</v>
      </c>
      <c r="F209">
        <v>0.1956</v>
      </c>
      <c r="G209">
        <v>9.4000000000000004E-3</v>
      </c>
      <c r="H209">
        <v>-0.77700000000000002</v>
      </c>
      <c r="I209">
        <v>-0.18099999999999999</v>
      </c>
      <c r="J209">
        <v>0.63929999999999998</v>
      </c>
      <c r="K209">
        <v>0.22850000000000001</v>
      </c>
      <c r="L209">
        <v>-0.58899999999999997</v>
      </c>
      <c r="M209">
        <v>-3.7999999999999999E-2</v>
      </c>
      <c r="N209">
        <v>34.15</v>
      </c>
      <c r="O209">
        <v>308.18</v>
      </c>
      <c r="P209">
        <v>99.016000000000005</v>
      </c>
      <c r="Q209">
        <v>134.97829999999999</v>
      </c>
      <c r="R209">
        <v>5.4866000000000001</v>
      </c>
      <c r="S209">
        <v>18.84</v>
      </c>
      <c r="T209">
        <v>25.27</v>
      </c>
      <c r="U209">
        <v>282.36</v>
      </c>
      <c r="V209">
        <v>629.55999999999995</v>
      </c>
      <c r="W209">
        <v>2052.85</v>
      </c>
      <c r="X209">
        <v>924.94</v>
      </c>
      <c r="Y209">
        <v>80505.89</v>
      </c>
      <c r="Z209">
        <v>6.8974000000000002</v>
      </c>
      <c r="AA209">
        <v>6.6656000000000004</v>
      </c>
      <c r="AB209">
        <v>8.1752000000000002</v>
      </c>
      <c r="AC209">
        <v>5.1715999999999998</v>
      </c>
      <c r="AD209">
        <v>4.0236999999999998</v>
      </c>
      <c r="AE209">
        <v>2.9775999999999998</v>
      </c>
      <c r="AF209">
        <v>3.65</v>
      </c>
      <c r="AG209">
        <v>1.0954999999999999</v>
      </c>
      <c r="AH209">
        <v>107.18</v>
      </c>
      <c r="AI209">
        <v>1.2594000000000001</v>
      </c>
      <c r="AJ209">
        <v>1.3945000000000001</v>
      </c>
      <c r="AK209">
        <v>9.7578999999999994</v>
      </c>
      <c r="AL209">
        <v>0.96530000000000005</v>
      </c>
      <c r="AM209">
        <v>186.63</v>
      </c>
      <c r="AN209">
        <v>70.25</v>
      </c>
      <c r="AO209">
        <v>75.48</v>
      </c>
      <c r="AP209">
        <v>83</v>
      </c>
      <c r="AQ209">
        <v>83.57</v>
      </c>
    </row>
    <row r="210" spans="1:43" x14ac:dyDescent="0.25">
      <c r="A210" s="1">
        <v>43980</v>
      </c>
      <c r="B210">
        <v>0.1246</v>
      </c>
      <c r="C210">
        <v>6.3E-2</v>
      </c>
      <c r="D210">
        <v>-0.55800000000000005</v>
      </c>
      <c r="E210">
        <v>-0.122</v>
      </c>
      <c r="F210">
        <v>0.1603</v>
      </c>
      <c r="G210">
        <v>-4.9700000000000001E-2</v>
      </c>
      <c r="H210">
        <v>-0.66800000000000004</v>
      </c>
      <c r="I210">
        <v>-0.16300000000000001</v>
      </c>
      <c r="J210">
        <v>0.65259999999999996</v>
      </c>
      <c r="K210">
        <v>0.18240000000000001</v>
      </c>
      <c r="L210">
        <v>-0.44900000000000001</v>
      </c>
      <c r="M210">
        <v>-3.0000000000000001E-3</v>
      </c>
      <c r="N210">
        <v>27.51</v>
      </c>
      <c r="O210">
        <v>283.94</v>
      </c>
      <c r="P210">
        <v>98.343999999999994</v>
      </c>
      <c r="Q210">
        <v>134.02789999999999</v>
      </c>
      <c r="R210">
        <v>5.3362999999999996</v>
      </c>
      <c r="S210">
        <v>35.49</v>
      </c>
      <c r="T210">
        <v>35.33</v>
      </c>
      <c r="U210">
        <v>305.82</v>
      </c>
      <c r="V210">
        <v>656.98</v>
      </c>
      <c r="W210">
        <v>2147.88</v>
      </c>
      <c r="X210">
        <v>930.35</v>
      </c>
      <c r="Y210">
        <v>87402.59</v>
      </c>
      <c r="Z210">
        <v>6.7393999999999998</v>
      </c>
      <c r="AA210">
        <v>6.1767000000000003</v>
      </c>
      <c r="AB210">
        <v>7.7144000000000004</v>
      </c>
      <c r="AC210">
        <v>4.6817000000000002</v>
      </c>
      <c r="AD210">
        <v>3.6143000000000001</v>
      </c>
      <c r="AE210">
        <v>2.5434000000000001</v>
      </c>
      <c r="AF210">
        <v>2.9</v>
      </c>
      <c r="AG210">
        <v>1.1101000000000001</v>
      </c>
      <c r="AH210">
        <v>107.83</v>
      </c>
      <c r="AI210">
        <v>1.2343</v>
      </c>
      <c r="AJ210">
        <v>1.3779999999999999</v>
      </c>
      <c r="AK210">
        <v>9.4320000000000004</v>
      </c>
      <c r="AL210">
        <v>0.96160000000000001</v>
      </c>
      <c r="AM210">
        <v>186.63</v>
      </c>
      <c r="AN210">
        <v>82.94</v>
      </c>
      <c r="AO210">
        <v>81.34</v>
      </c>
      <c r="AP210">
        <v>85.61</v>
      </c>
      <c r="AQ210">
        <v>84.26</v>
      </c>
    </row>
    <row r="211" spans="1:43" x14ac:dyDescent="0.25">
      <c r="A211" s="1">
        <v>44012</v>
      </c>
      <c r="B211">
        <v>0.1293</v>
      </c>
      <c r="C211">
        <v>1.2999999999999999E-2</v>
      </c>
      <c r="D211">
        <v>-0.56299999999999994</v>
      </c>
      <c r="E211">
        <v>-0.13200000000000001</v>
      </c>
      <c r="F211">
        <v>0.14849999999999999</v>
      </c>
      <c r="G211">
        <v>-9.0499999999999997E-2</v>
      </c>
      <c r="H211">
        <v>-0.69499999999999995</v>
      </c>
      <c r="I211">
        <v>-0.14699999999999999</v>
      </c>
      <c r="J211">
        <v>0.65610000000000002</v>
      </c>
      <c r="K211">
        <v>0.17050000000000001</v>
      </c>
      <c r="L211">
        <v>-0.45600000000000002</v>
      </c>
      <c r="M211">
        <v>0.02</v>
      </c>
      <c r="N211">
        <v>30.43</v>
      </c>
      <c r="O211">
        <v>256.51400000000001</v>
      </c>
      <c r="P211">
        <v>97.391000000000005</v>
      </c>
      <c r="Q211">
        <v>130.98869999999999</v>
      </c>
      <c r="R211">
        <v>5.4676</v>
      </c>
      <c r="S211">
        <v>39.270000000000003</v>
      </c>
      <c r="T211">
        <v>41.15</v>
      </c>
      <c r="U211">
        <v>290.41000000000003</v>
      </c>
      <c r="V211">
        <v>688.66</v>
      </c>
      <c r="W211">
        <v>2201.79</v>
      </c>
      <c r="X211">
        <v>995.1</v>
      </c>
      <c r="Y211">
        <v>95055.82</v>
      </c>
      <c r="Z211">
        <v>6.4283000000000001</v>
      </c>
      <c r="AA211">
        <v>5.9482999999999997</v>
      </c>
      <c r="AB211">
        <v>7.4218000000000002</v>
      </c>
      <c r="AC211">
        <v>4.5538999999999996</v>
      </c>
      <c r="AD211">
        <v>3.49</v>
      </c>
      <c r="AE211">
        <v>2.37</v>
      </c>
      <c r="AF211">
        <v>2.15</v>
      </c>
      <c r="AG211">
        <v>1.1234</v>
      </c>
      <c r="AH211">
        <v>107.93</v>
      </c>
      <c r="AI211">
        <v>1.2401</v>
      </c>
      <c r="AJ211">
        <v>1.3575999999999999</v>
      </c>
      <c r="AK211">
        <v>9.3210999999999995</v>
      </c>
      <c r="AL211">
        <v>0.94730000000000003</v>
      </c>
      <c r="AM211">
        <v>186.63</v>
      </c>
      <c r="AN211">
        <v>91.34</v>
      </c>
      <c r="AO211">
        <v>89.52</v>
      </c>
      <c r="AP211">
        <v>89.4</v>
      </c>
      <c r="AQ211">
        <v>88.89</v>
      </c>
    </row>
    <row r="212" spans="1:43" x14ac:dyDescent="0.25">
      <c r="A212" s="1">
        <v>44043</v>
      </c>
      <c r="B212">
        <v>8.3699999999999997E-2</v>
      </c>
      <c r="C212">
        <v>0.03</v>
      </c>
      <c r="D212">
        <v>-0.57799999999999996</v>
      </c>
      <c r="E212">
        <v>-8.7999999999999995E-2</v>
      </c>
      <c r="F212">
        <v>0.10539999999999999</v>
      </c>
      <c r="G212">
        <v>-7.3400000000000007E-2</v>
      </c>
      <c r="H212">
        <v>-0.72</v>
      </c>
      <c r="I212">
        <v>-0.14099999999999999</v>
      </c>
      <c r="J212">
        <v>0.5282</v>
      </c>
      <c r="K212">
        <v>0.1031</v>
      </c>
      <c r="L212">
        <v>-0.52500000000000002</v>
      </c>
      <c r="M212">
        <v>1.4E-2</v>
      </c>
      <c r="N212">
        <v>24.46</v>
      </c>
      <c r="O212">
        <v>217.80600000000001</v>
      </c>
      <c r="P212">
        <v>93.349000000000004</v>
      </c>
      <c r="Q212">
        <v>130.6062</v>
      </c>
      <c r="R212">
        <v>5.2210000000000001</v>
      </c>
      <c r="S212">
        <v>40.270000000000003</v>
      </c>
      <c r="T212">
        <v>43.3</v>
      </c>
      <c r="U212">
        <v>306.33</v>
      </c>
      <c r="V212">
        <v>728.03</v>
      </c>
      <c r="W212">
        <v>2304.98</v>
      </c>
      <c r="X212">
        <v>1078.92</v>
      </c>
      <c r="Y212">
        <v>102912.2</v>
      </c>
      <c r="Z212">
        <v>5.9314</v>
      </c>
      <c r="AA212">
        <v>5.4771000000000001</v>
      </c>
      <c r="AB212">
        <v>6.8678999999999997</v>
      </c>
      <c r="AC212">
        <v>4.2557999999999998</v>
      </c>
      <c r="AD212">
        <v>3.2978000000000001</v>
      </c>
      <c r="AE212">
        <v>2.3039999999999998</v>
      </c>
      <c r="AF212">
        <v>2.15</v>
      </c>
      <c r="AG212">
        <v>1.1778</v>
      </c>
      <c r="AH212">
        <v>105.83</v>
      </c>
      <c r="AI212">
        <v>1.3085</v>
      </c>
      <c r="AJ212">
        <v>1.3411999999999999</v>
      </c>
      <c r="AK212">
        <v>8.7795000000000005</v>
      </c>
      <c r="AL212">
        <v>0.91290000000000004</v>
      </c>
      <c r="AM212">
        <v>186.63</v>
      </c>
      <c r="AN212">
        <v>106.03</v>
      </c>
      <c r="AO212">
        <v>97.58</v>
      </c>
      <c r="AP212">
        <v>91.76</v>
      </c>
      <c r="AQ212">
        <v>95.49</v>
      </c>
    </row>
    <row r="213" spans="1:43" x14ac:dyDescent="0.25">
      <c r="A213" s="1">
        <v>44074</v>
      </c>
      <c r="B213">
        <v>9.3799999999999994E-2</v>
      </c>
      <c r="C213">
        <v>-6.2E-2</v>
      </c>
      <c r="D213">
        <v>-0.58399999999999996</v>
      </c>
      <c r="E213">
        <v>-0.121</v>
      </c>
      <c r="F213">
        <v>0.13089999999999999</v>
      </c>
      <c r="G213">
        <v>-6.2199999999999998E-2</v>
      </c>
      <c r="H213">
        <v>-0.65800000000000003</v>
      </c>
      <c r="I213">
        <v>-0.113</v>
      </c>
      <c r="J213">
        <v>0.70479999999999998</v>
      </c>
      <c r="K213">
        <v>0.31019999999999998</v>
      </c>
      <c r="L213">
        <v>-0.39800000000000002</v>
      </c>
      <c r="M213">
        <v>4.7E-2</v>
      </c>
      <c r="N213">
        <v>26.41</v>
      </c>
      <c r="O213">
        <v>214.94</v>
      </c>
      <c r="P213">
        <v>92.144000000000005</v>
      </c>
      <c r="Q213">
        <v>129.85599999999999</v>
      </c>
      <c r="R213">
        <v>5.4945000000000004</v>
      </c>
      <c r="S213">
        <v>42.61</v>
      </c>
      <c r="T213">
        <v>45.28</v>
      </c>
      <c r="U213">
        <v>325.12</v>
      </c>
      <c r="V213">
        <v>756.72</v>
      </c>
      <c r="W213">
        <v>2455.5100000000002</v>
      </c>
      <c r="X213">
        <v>1101.5</v>
      </c>
      <c r="Y213">
        <v>99369.15</v>
      </c>
      <c r="Z213">
        <v>6.5827</v>
      </c>
      <c r="AA213">
        <v>6.2268999999999997</v>
      </c>
      <c r="AB213">
        <v>7.6595000000000004</v>
      </c>
      <c r="AC213">
        <v>4.8297999999999996</v>
      </c>
      <c r="AD213">
        <v>3.6964000000000001</v>
      </c>
      <c r="AE213">
        <v>2.6111</v>
      </c>
      <c r="AF213">
        <v>1.9</v>
      </c>
      <c r="AG213">
        <v>1.1936</v>
      </c>
      <c r="AH213">
        <v>105.91</v>
      </c>
      <c r="AI213">
        <v>1.337</v>
      </c>
      <c r="AJ213">
        <v>1.3047</v>
      </c>
      <c r="AK213">
        <v>8.6454000000000004</v>
      </c>
      <c r="AL213">
        <v>0.90369999999999995</v>
      </c>
      <c r="AM213">
        <v>186.63</v>
      </c>
      <c r="AN213">
        <v>109.42</v>
      </c>
      <c r="AO213">
        <v>100.68</v>
      </c>
      <c r="AP213">
        <v>93.49</v>
      </c>
      <c r="AQ213">
        <v>94.96</v>
      </c>
    </row>
    <row r="214" spans="1:43" x14ac:dyDescent="0.25">
      <c r="A214" s="1">
        <v>44104</v>
      </c>
      <c r="B214">
        <v>9.1499999999999998E-2</v>
      </c>
      <c r="C214">
        <v>1.0999999999999999E-2</v>
      </c>
      <c r="D214">
        <v>-0.63300000000000001</v>
      </c>
      <c r="E214">
        <v>-0.159</v>
      </c>
      <c r="F214">
        <v>0.127</v>
      </c>
      <c r="G214">
        <v>-2.7199999999999998E-2</v>
      </c>
      <c r="H214">
        <v>-0.70499999999999996</v>
      </c>
      <c r="I214">
        <v>-0.13500000000000001</v>
      </c>
      <c r="J214">
        <v>0.68400000000000005</v>
      </c>
      <c r="K214">
        <v>0.2283</v>
      </c>
      <c r="L214">
        <v>-0.52300000000000002</v>
      </c>
      <c r="M214">
        <v>1.0999999999999999E-2</v>
      </c>
      <c r="N214">
        <v>26.37</v>
      </c>
      <c r="O214">
        <v>249.64400000000001</v>
      </c>
      <c r="P214">
        <v>93.885999999999996</v>
      </c>
      <c r="Q214">
        <v>128.1627</v>
      </c>
      <c r="R214">
        <v>5.6094999999999997</v>
      </c>
      <c r="S214">
        <v>40.22</v>
      </c>
      <c r="T214">
        <v>40.950000000000003</v>
      </c>
      <c r="U214">
        <v>339.91</v>
      </c>
      <c r="V214">
        <v>772.87</v>
      </c>
      <c r="W214">
        <v>2367.27</v>
      </c>
      <c r="X214">
        <v>1082</v>
      </c>
      <c r="Y214">
        <v>94603.38</v>
      </c>
      <c r="Z214">
        <v>7.3010000000000002</v>
      </c>
      <c r="AA214">
        <v>6.8380999999999998</v>
      </c>
      <c r="AB214">
        <v>8.2470999999999997</v>
      </c>
      <c r="AC214">
        <v>5.4804000000000004</v>
      </c>
      <c r="AD214">
        <v>4.1500000000000004</v>
      </c>
      <c r="AE214">
        <v>2.73</v>
      </c>
      <c r="AF214">
        <v>1.9</v>
      </c>
      <c r="AG214">
        <v>1.1720999999999999</v>
      </c>
      <c r="AH214">
        <v>105.48</v>
      </c>
      <c r="AI214">
        <v>1.292</v>
      </c>
      <c r="AJ214">
        <v>1.3319000000000001</v>
      </c>
      <c r="AK214">
        <v>8.9571000000000005</v>
      </c>
      <c r="AL214">
        <v>0.92090000000000005</v>
      </c>
      <c r="AM214">
        <v>186.63</v>
      </c>
      <c r="AN214">
        <v>111.13</v>
      </c>
      <c r="AO214">
        <v>103.36</v>
      </c>
      <c r="AP214">
        <v>95.39</v>
      </c>
      <c r="AQ214">
        <v>95.82</v>
      </c>
    </row>
    <row r="215" spans="1:43" x14ac:dyDescent="0.25">
      <c r="A215" s="1">
        <v>44134</v>
      </c>
      <c r="B215">
        <v>8.6400000000000005E-2</v>
      </c>
      <c r="C215">
        <v>-0.04</v>
      </c>
      <c r="D215">
        <v>-0.74299999999999999</v>
      </c>
      <c r="E215">
        <v>-9.2999999999999999E-2</v>
      </c>
      <c r="F215">
        <v>0.1525</v>
      </c>
      <c r="G215">
        <v>-3.7600000000000001E-2</v>
      </c>
      <c r="H215">
        <v>-0.79800000000000004</v>
      </c>
      <c r="I215">
        <v>-0.127</v>
      </c>
      <c r="J215">
        <v>0.87370000000000003</v>
      </c>
      <c r="K215">
        <v>0.26050000000000001</v>
      </c>
      <c r="L215">
        <v>-0.628</v>
      </c>
      <c r="M215">
        <v>3.6999999999999998E-2</v>
      </c>
      <c r="N215">
        <v>38.020000000000003</v>
      </c>
      <c r="O215">
        <v>218.16200000000001</v>
      </c>
      <c r="P215">
        <v>94.037999999999997</v>
      </c>
      <c r="Q215">
        <v>126.9731</v>
      </c>
      <c r="R215">
        <v>5.7450999999999999</v>
      </c>
      <c r="S215">
        <v>35.79</v>
      </c>
      <c r="T215">
        <v>37.46</v>
      </c>
      <c r="U215">
        <v>337.87</v>
      </c>
      <c r="V215">
        <v>780.4</v>
      </c>
      <c r="W215">
        <v>2292.9299999999998</v>
      </c>
      <c r="X215">
        <v>1103.46</v>
      </c>
      <c r="Y215">
        <v>93952.4</v>
      </c>
      <c r="Z215">
        <v>7.4764999999999997</v>
      </c>
      <c r="AA215">
        <v>7.1562999999999999</v>
      </c>
      <c r="AB215">
        <v>8.2690000000000001</v>
      </c>
      <c r="AC215">
        <v>5.9867999999999997</v>
      </c>
      <c r="AD215">
        <v>4.8181000000000003</v>
      </c>
      <c r="AE215">
        <v>3.1783999999999999</v>
      </c>
      <c r="AF215">
        <v>1.9</v>
      </c>
      <c r="AG215">
        <v>1.1647000000000001</v>
      </c>
      <c r="AH215">
        <v>104.66</v>
      </c>
      <c r="AI215">
        <v>1.2947</v>
      </c>
      <c r="AJ215">
        <v>1.3321000000000001</v>
      </c>
      <c r="AK215">
        <v>8.8977000000000004</v>
      </c>
      <c r="AL215">
        <v>0.91700000000000004</v>
      </c>
      <c r="AM215">
        <v>186.63</v>
      </c>
      <c r="AN215">
        <v>113.43</v>
      </c>
      <c r="AO215">
        <v>105</v>
      </c>
      <c r="AP215">
        <v>97.26</v>
      </c>
      <c r="AQ215">
        <v>97.81</v>
      </c>
    </row>
    <row r="216" spans="1:43" x14ac:dyDescent="0.25">
      <c r="A216" s="1">
        <v>44165</v>
      </c>
      <c r="B216">
        <v>7.1199999999999999E-2</v>
      </c>
      <c r="C216">
        <v>-0.108</v>
      </c>
      <c r="D216">
        <v>-0.76</v>
      </c>
      <c r="E216">
        <v>-7.2999999999999995E-2</v>
      </c>
      <c r="F216">
        <v>0.14849999999999999</v>
      </c>
      <c r="G216">
        <v>-2.9700000000000001E-2</v>
      </c>
      <c r="H216">
        <v>-0.749</v>
      </c>
      <c r="I216">
        <v>-0.127</v>
      </c>
      <c r="J216">
        <v>0.83889999999999998</v>
      </c>
      <c r="K216">
        <v>0.30380000000000001</v>
      </c>
      <c r="L216">
        <v>-0.57199999999999995</v>
      </c>
      <c r="M216">
        <v>2.7E-2</v>
      </c>
      <c r="N216">
        <v>20.57</v>
      </c>
      <c r="O216">
        <v>165.92699999999999</v>
      </c>
      <c r="P216">
        <v>91.869</v>
      </c>
      <c r="Q216">
        <v>124.39149999999999</v>
      </c>
      <c r="R216">
        <v>5.3593999999999999</v>
      </c>
      <c r="S216">
        <v>45.34</v>
      </c>
      <c r="T216">
        <v>47.59</v>
      </c>
      <c r="U216">
        <v>358.48</v>
      </c>
      <c r="V216">
        <v>827.85</v>
      </c>
      <c r="W216">
        <v>2583.14</v>
      </c>
      <c r="X216">
        <v>1205.07</v>
      </c>
      <c r="Y216">
        <v>108893.32</v>
      </c>
      <c r="Z216">
        <v>7.5263999999999998</v>
      </c>
      <c r="AA216">
        <v>7.1608999999999998</v>
      </c>
      <c r="AB216">
        <v>8.3520000000000003</v>
      </c>
      <c r="AC216">
        <v>6.0495000000000001</v>
      </c>
      <c r="AD216">
        <v>4.8921000000000001</v>
      </c>
      <c r="AE216">
        <v>3.1787999999999998</v>
      </c>
      <c r="AF216">
        <v>1.9</v>
      </c>
      <c r="AG216">
        <v>1.1927000000000001</v>
      </c>
      <c r="AH216">
        <v>104.31</v>
      </c>
      <c r="AI216">
        <v>1.3323</v>
      </c>
      <c r="AJ216">
        <v>1.3001</v>
      </c>
      <c r="AK216">
        <v>8.5736000000000008</v>
      </c>
      <c r="AL216">
        <v>0.90890000000000004</v>
      </c>
      <c r="AM216">
        <v>186.63</v>
      </c>
      <c r="AN216">
        <v>105.13</v>
      </c>
      <c r="AO216">
        <v>105.44</v>
      </c>
      <c r="AP216">
        <v>97.46</v>
      </c>
      <c r="AQ216">
        <v>96.5</v>
      </c>
    </row>
    <row r="217" spans="1:43" x14ac:dyDescent="0.25">
      <c r="A217" s="1">
        <v>44196</v>
      </c>
      <c r="B217">
        <v>5.8299999999999998E-2</v>
      </c>
      <c r="C217">
        <v>-6.0999999999999999E-2</v>
      </c>
      <c r="D217">
        <v>-0.82599999999999996</v>
      </c>
      <c r="E217">
        <v>-0.10100000000000001</v>
      </c>
      <c r="F217">
        <v>0.1211</v>
      </c>
      <c r="G217">
        <v>-0.1734</v>
      </c>
      <c r="H217">
        <v>-0.71499999999999997</v>
      </c>
      <c r="I217">
        <v>-0.13100000000000001</v>
      </c>
      <c r="J217">
        <v>0.91320000000000001</v>
      </c>
      <c r="K217">
        <v>0.1923</v>
      </c>
      <c r="L217">
        <v>-0.57199999999999995</v>
      </c>
      <c r="M217">
        <v>1.7000000000000001E-2</v>
      </c>
      <c r="N217">
        <v>22.75</v>
      </c>
      <c r="O217">
        <v>142.851</v>
      </c>
      <c r="P217">
        <v>89.936999999999998</v>
      </c>
      <c r="Q217">
        <v>122.34950000000001</v>
      </c>
      <c r="R217">
        <v>5.1985000000000001</v>
      </c>
      <c r="S217">
        <v>48.52</v>
      </c>
      <c r="T217">
        <v>51.8</v>
      </c>
      <c r="U217">
        <v>362.06</v>
      </c>
      <c r="V217">
        <v>903.49</v>
      </c>
      <c r="W217">
        <v>2690.04</v>
      </c>
      <c r="X217">
        <v>1291.26</v>
      </c>
      <c r="Y217">
        <v>119017.24</v>
      </c>
      <c r="Z217">
        <v>6.4123999999999999</v>
      </c>
      <c r="AA217">
        <v>6.05</v>
      </c>
      <c r="AB217">
        <v>7.2031999999999998</v>
      </c>
      <c r="AC217">
        <v>5.0895999999999999</v>
      </c>
      <c r="AD217">
        <v>4.1900000000000004</v>
      </c>
      <c r="AE217">
        <v>2.8542000000000001</v>
      </c>
      <c r="AF217">
        <v>1.9</v>
      </c>
      <c r="AG217">
        <v>1.2216</v>
      </c>
      <c r="AH217">
        <v>103.25</v>
      </c>
      <c r="AI217">
        <v>1.367</v>
      </c>
      <c r="AJ217">
        <v>1.2725</v>
      </c>
      <c r="AK217">
        <v>8.2272999999999996</v>
      </c>
      <c r="AL217">
        <v>0.88519999999999999</v>
      </c>
      <c r="AM217">
        <v>186.63</v>
      </c>
      <c r="AN217">
        <v>97.11</v>
      </c>
      <c r="AO217">
        <v>104.91</v>
      </c>
      <c r="AP217">
        <v>97.61</v>
      </c>
      <c r="AQ217">
        <v>97.51</v>
      </c>
    </row>
    <row r="218" spans="1:43" x14ac:dyDescent="0.25">
      <c r="A218" s="1">
        <v>44225</v>
      </c>
      <c r="B218">
        <v>4.82E-2</v>
      </c>
      <c r="C218">
        <v>-2.3E-2</v>
      </c>
      <c r="D218">
        <v>-0.63600000000000001</v>
      </c>
      <c r="E218">
        <v>-9.8000000000000004E-2</v>
      </c>
      <c r="F218">
        <v>0.10929999999999999</v>
      </c>
      <c r="G218">
        <v>-0.1124</v>
      </c>
      <c r="H218">
        <v>-0.73799999999999999</v>
      </c>
      <c r="I218">
        <v>-0.129</v>
      </c>
      <c r="J218">
        <v>1.0654999999999999</v>
      </c>
      <c r="K218">
        <v>0.32569999999999999</v>
      </c>
      <c r="L218">
        <v>-0.51900000000000002</v>
      </c>
      <c r="M218">
        <v>4.9000000000000002E-2</v>
      </c>
      <c r="N218">
        <v>33.090000000000003</v>
      </c>
      <c r="O218">
        <v>173.69800000000001</v>
      </c>
      <c r="P218">
        <v>90.584000000000003</v>
      </c>
      <c r="Q218">
        <v>122.0172</v>
      </c>
      <c r="R218">
        <v>5.4717000000000002</v>
      </c>
      <c r="S218">
        <v>52.2</v>
      </c>
      <c r="T218">
        <v>55.88</v>
      </c>
      <c r="U218">
        <v>367.81</v>
      </c>
      <c r="V218">
        <v>978.2</v>
      </c>
      <c r="W218">
        <v>2661.69</v>
      </c>
      <c r="X218">
        <v>1329.57</v>
      </c>
      <c r="Y218">
        <v>115067.55</v>
      </c>
      <c r="Z218">
        <v>7.0388999999999999</v>
      </c>
      <c r="AA218">
        <v>6.7199</v>
      </c>
      <c r="AB218">
        <v>7.7925000000000004</v>
      </c>
      <c r="AC218">
        <v>5.8276000000000003</v>
      </c>
      <c r="AD218">
        <v>4.93</v>
      </c>
      <c r="AE218">
        <v>3.4727000000000001</v>
      </c>
      <c r="AF218">
        <v>1.9</v>
      </c>
      <c r="AG218">
        <v>1.2136</v>
      </c>
      <c r="AH218">
        <v>104.68</v>
      </c>
      <c r="AI218">
        <v>1.3708</v>
      </c>
      <c r="AJ218">
        <v>1.2777000000000001</v>
      </c>
      <c r="AK218">
        <v>8.3656000000000006</v>
      </c>
      <c r="AL218">
        <v>0.89029999999999998</v>
      </c>
      <c r="AM218">
        <v>186.63</v>
      </c>
      <c r="AN218">
        <v>95.45</v>
      </c>
      <c r="AO218">
        <v>105.56</v>
      </c>
      <c r="AP218">
        <v>97.72</v>
      </c>
      <c r="AQ218">
        <v>91.9</v>
      </c>
    </row>
    <row r="219" spans="1:43" x14ac:dyDescent="0.25">
      <c r="A219" s="1">
        <v>44253</v>
      </c>
      <c r="B219">
        <v>3.3000000000000002E-2</v>
      </c>
      <c r="C219">
        <v>-1.4E-2</v>
      </c>
      <c r="D219">
        <v>-0.623</v>
      </c>
      <c r="E219">
        <v>-0.10199999999999999</v>
      </c>
      <c r="F219">
        <v>0.127</v>
      </c>
      <c r="G219">
        <v>0.1176</v>
      </c>
      <c r="H219">
        <v>-0.66800000000000004</v>
      </c>
      <c r="I219">
        <v>-0.123</v>
      </c>
      <c r="J219">
        <v>1.4049</v>
      </c>
      <c r="K219">
        <v>0.81840000000000002</v>
      </c>
      <c r="L219">
        <v>-0.26200000000000001</v>
      </c>
      <c r="M219">
        <v>0.156</v>
      </c>
      <c r="N219">
        <v>27.95</v>
      </c>
      <c r="O219">
        <v>190.876</v>
      </c>
      <c r="P219">
        <v>90.879000000000005</v>
      </c>
      <c r="Q219">
        <v>122.7769</v>
      </c>
      <c r="R219">
        <v>5.6032999999999999</v>
      </c>
      <c r="S219">
        <v>61.5</v>
      </c>
      <c r="T219">
        <v>66.13</v>
      </c>
      <c r="U219">
        <v>401.79</v>
      </c>
      <c r="V219">
        <v>1032.94</v>
      </c>
      <c r="W219">
        <v>2726.91</v>
      </c>
      <c r="X219">
        <v>1339.26</v>
      </c>
      <c r="Y219">
        <v>110035.17</v>
      </c>
      <c r="Z219">
        <v>7.9036999999999997</v>
      </c>
      <c r="AA219">
        <v>7.6132</v>
      </c>
      <c r="AB219">
        <v>8.5305</v>
      </c>
      <c r="AC219">
        <v>6.7588999999999997</v>
      </c>
      <c r="AD219">
        <v>5.8085000000000004</v>
      </c>
      <c r="AE219">
        <v>4.0972999999999997</v>
      </c>
      <c r="AF219">
        <v>1.9</v>
      </c>
      <c r="AG219">
        <v>1.2075</v>
      </c>
      <c r="AH219">
        <v>106.57</v>
      </c>
      <c r="AI219">
        <v>1.3933</v>
      </c>
      <c r="AJ219">
        <v>1.2738</v>
      </c>
      <c r="AK219">
        <v>8.4372000000000007</v>
      </c>
      <c r="AL219">
        <v>0.90849999999999997</v>
      </c>
      <c r="AM219">
        <v>186.63</v>
      </c>
      <c r="AN219">
        <v>92.15</v>
      </c>
      <c r="AO219">
        <v>104.12</v>
      </c>
      <c r="AP219">
        <v>98.67</v>
      </c>
      <c r="AQ219">
        <v>93.88</v>
      </c>
    </row>
    <row r="220" spans="1:43" x14ac:dyDescent="0.25">
      <c r="A220" s="1">
        <v>44286</v>
      </c>
      <c r="B220">
        <v>1.52E-2</v>
      </c>
      <c r="C220">
        <v>-0.01</v>
      </c>
      <c r="D220">
        <v>-0.66500000000000004</v>
      </c>
      <c r="E220">
        <v>-0.1</v>
      </c>
      <c r="F220">
        <v>0.1603</v>
      </c>
      <c r="G220">
        <v>9.6500000000000002E-2</v>
      </c>
      <c r="H220">
        <v>-0.69499999999999995</v>
      </c>
      <c r="I220">
        <v>-0.13</v>
      </c>
      <c r="J220">
        <v>1.7403999999999999</v>
      </c>
      <c r="K220">
        <v>0.84370000000000001</v>
      </c>
      <c r="L220">
        <v>-0.29299999999999998</v>
      </c>
      <c r="M220">
        <v>8.8999999999999996E-2</v>
      </c>
      <c r="N220">
        <v>19.399999999999999</v>
      </c>
      <c r="O220">
        <v>225.452</v>
      </c>
      <c r="P220">
        <v>93.231999999999999</v>
      </c>
      <c r="Q220">
        <v>124.4151</v>
      </c>
      <c r="R220">
        <v>5.6337000000000002</v>
      </c>
      <c r="S220">
        <v>59.16</v>
      </c>
      <c r="T220">
        <v>63.54</v>
      </c>
      <c r="U220">
        <v>430.32</v>
      </c>
      <c r="V220">
        <v>1065.8699999999999</v>
      </c>
      <c r="W220">
        <v>2811.7</v>
      </c>
      <c r="X220">
        <v>1316.43</v>
      </c>
      <c r="Y220">
        <v>116633.72</v>
      </c>
      <c r="Z220">
        <v>8.7355999999999998</v>
      </c>
      <c r="AA220">
        <v>8.4742999999999995</v>
      </c>
      <c r="AB220">
        <v>9.2167999999999992</v>
      </c>
      <c r="AC220">
        <v>7.6041999999999996</v>
      </c>
      <c r="AD220">
        <v>6.7301000000000002</v>
      </c>
      <c r="AE220">
        <v>5.1071999999999997</v>
      </c>
      <c r="AF220">
        <v>2.65</v>
      </c>
      <c r="AG220">
        <v>1.173</v>
      </c>
      <c r="AH220">
        <v>110.72</v>
      </c>
      <c r="AI220">
        <v>1.3783000000000001</v>
      </c>
      <c r="AJ220">
        <v>1.2562</v>
      </c>
      <c r="AK220">
        <v>8.7301000000000002</v>
      </c>
      <c r="AL220">
        <v>0.94359999999999999</v>
      </c>
      <c r="AM220">
        <v>186.63</v>
      </c>
      <c r="AN220">
        <v>100.32</v>
      </c>
      <c r="AO220">
        <v>101.95</v>
      </c>
      <c r="AP220">
        <v>95.2</v>
      </c>
      <c r="AQ220">
        <v>101.12</v>
      </c>
    </row>
    <row r="221" spans="1:43" x14ac:dyDescent="0.25">
      <c r="A221" s="1">
        <v>44316</v>
      </c>
      <c r="B221">
        <v>2.5000000000000001E-3</v>
      </c>
      <c r="C221">
        <v>3.7999999999999999E-2</v>
      </c>
      <c r="D221">
        <v>-0.64200000000000002</v>
      </c>
      <c r="E221">
        <v>-0.11</v>
      </c>
      <c r="F221">
        <v>0.15840000000000001</v>
      </c>
      <c r="G221">
        <v>7.46E-2</v>
      </c>
      <c r="H221">
        <v>-0.69</v>
      </c>
      <c r="I221">
        <v>-0.128</v>
      </c>
      <c r="J221">
        <v>1.6258999999999999</v>
      </c>
      <c r="K221">
        <v>0.84099999999999997</v>
      </c>
      <c r="L221">
        <v>-0.20300000000000001</v>
      </c>
      <c r="M221">
        <v>9.0999999999999998E-2</v>
      </c>
      <c r="N221">
        <v>18.61</v>
      </c>
      <c r="O221">
        <v>192.05699999999999</v>
      </c>
      <c r="P221">
        <v>91.28</v>
      </c>
      <c r="Q221">
        <v>123.3813</v>
      </c>
      <c r="R221">
        <v>5.4375999999999998</v>
      </c>
      <c r="S221">
        <v>63.58</v>
      </c>
      <c r="T221">
        <v>67.25</v>
      </c>
      <c r="U221">
        <v>468.73</v>
      </c>
      <c r="V221">
        <v>1116.01</v>
      </c>
      <c r="W221">
        <v>2938.76</v>
      </c>
      <c r="X221">
        <v>1347.61</v>
      </c>
      <c r="Y221">
        <v>118893.84</v>
      </c>
      <c r="Z221">
        <v>8.5244999999999997</v>
      </c>
      <c r="AA221">
        <v>8.1989999999999998</v>
      </c>
      <c r="AB221">
        <v>9.0206</v>
      </c>
      <c r="AC221">
        <v>7.4757999999999996</v>
      </c>
      <c r="AD221">
        <v>6.6917</v>
      </c>
      <c r="AE221">
        <v>5.2926000000000002</v>
      </c>
      <c r="AF221">
        <v>2.65</v>
      </c>
      <c r="AG221">
        <v>1.202</v>
      </c>
      <c r="AH221">
        <v>109.31</v>
      </c>
      <c r="AI221">
        <v>1.3822000000000001</v>
      </c>
      <c r="AJ221">
        <v>1.2286999999999999</v>
      </c>
      <c r="AK221">
        <v>8.4648000000000003</v>
      </c>
      <c r="AL221">
        <v>0.91310000000000002</v>
      </c>
      <c r="AM221">
        <v>186.63</v>
      </c>
      <c r="AN221">
        <v>94.72</v>
      </c>
      <c r="AO221">
        <v>100.06</v>
      </c>
      <c r="AP221">
        <v>96.35</v>
      </c>
      <c r="AQ221">
        <v>97.22</v>
      </c>
    </row>
    <row r="222" spans="1:43" x14ac:dyDescent="0.25">
      <c r="A222" s="1">
        <v>44347</v>
      </c>
      <c r="B222">
        <v>2.5000000000000001E-3</v>
      </c>
      <c r="C222">
        <v>2.8000000000000001E-2</v>
      </c>
      <c r="D222">
        <v>-0.65800000000000003</v>
      </c>
      <c r="E222">
        <v>-0.106</v>
      </c>
      <c r="F222">
        <v>0.14069999999999999</v>
      </c>
      <c r="G222">
        <v>5.74E-2</v>
      </c>
      <c r="H222">
        <v>-0.66800000000000004</v>
      </c>
      <c r="I222">
        <v>-0.13300000000000001</v>
      </c>
      <c r="J222">
        <v>1.5943000000000001</v>
      </c>
      <c r="K222">
        <v>0.79359999999999997</v>
      </c>
      <c r="L222">
        <v>-0.188</v>
      </c>
      <c r="M222">
        <v>7.8E-2</v>
      </c>
      <c r="N222">
        <v>16.760000000000002</v>
      </c>
      <c r="O222">
        <v>171.768</v>
      </c>
      <c r="P222">
        <v>89.828999999999994</v>
      </c>
      <c r="Q222">
        <v>122.3997</v>
      </c>
      <c r="R222">
        <v>5.2187999999999999</v>
      </c>
      <c r="S222">
        <v>66.319999999999993</v>
      </c>
      <c r="T222">
        <v>69.319999999999993</v>
      </c>
      <c r="U222">
        <v>480.96</v>
      </c>
      <c r="V222">
        <v>1156.69</v>
      </c>
      <c r="W222">
        <v>2975.7</v>
      </c>
      <c r="X222">
        <v>1376.21</v>
      </c>
      <c r="Y222">
        <v>126215.73</v>
      </c>
      <c r="Z222">
        <v>8.5776000000000003</v>
      </c>
      <c r="AA222">
        <v>8.3094999999999999</v>
      </c>
      <c r="AB222">
        <v>9.1175999999999995</v>
      </c>
      <c r="AC222">
        <v>7.6749000000000001</v>
      </c>
      <c r="AD222">
        <v>7.0978000000000003</v>
      </c>
      <c r="AE222">
        <v>5.8985000000000003</v>
      </c>
      <c r="AF222">
        <v>3.4</v>
      </c>
      <c r="AG222">
        <v>1.2226999999999999</v>
      </c>
      <c r="AH222">
        <v>109.58</v>
      </c>
      <c r="AI222">
        <v>1.4212</v>
      </c>
      <c r="AJ222">
        <v>1.2063999999999999</v>
      </c>
      <c r="AK222">
        <v>8.2977000000000007</v>
      </c>
      <c r="AL222">
        <v>0.89890000000000003</v>
      </c>
      <c r="AM222">
        <v>186.63</v>
      </c>
      <c r="AN222">
        <v>102.96</v>
      </c>
      <c r="AO222">
        <v>101.18</v>
      </c>
      <c r="AP222">
        <v>97.13</v>
      </c>
      <c r="AQ222">
        <v>96.03</v>
      </c>
    </row>
    <row r="223" spans="1:43" x14ac:dyDescent="0.25">
      <c r="A223" s="1">
        <v>44377</v>
      </c>
      <c r="B223">
        <v>4.0599999999999997E-2</v>
      </c>
      <c r="C223">
        <v>2.4E-2</v>
      </c>
      <c r="D223">
        <v>-0.66700000000000004</v>
      </c>
      <c r="E223">
        <v>-0.10299999999999999</v>
      </c>
      <c r="F223">
        <v>0.24859999999999999</v>
      </c>
      <c r="G223">
        <v>5.7000000000000002E-2</v>
      </c>
      <c r="H223">
        <v>-0.66700000000000004</v>
      </c>
      <c r="I223">
        <v>-0.11700000000000001</v>
      </c>
      <c r="J223">
        <v>1.468</v>
      </c>
      <c r="K223">
        <v>0.71499999999999997</v>
      </c>
      <c r="L223">
        <v>-0.20899999999999999</v>
      </c>
      <c r="M223">
        <v>5.1999999999999998E-2</v>
      </c>
      <c r="N223">
        <v>15.83</v>
      </c>
      <c r="O223">
        <v>164.79400000000001</v>
      </c>
      <c r="P223">
        <v>92.436000000000007</v>
      </c>
      <c r="Q223">
        <v>122.2992</v>
      </c>
      <c r="R223">
        <v>4.9695999999999998</v>
      </c>
      <c r="S223">
        <v>73.47</v>
      </c>
      <c r="T223">
        <v>75.13</v>
      </c>
      <c r="U223">
        <v>488.63</v>
      </c>
      <c r="V223">
        <v>1157.99</v>
      </c>
      <c r="W223">
        <v>3017.23</v>
      </c>
      <c r="X223">
        <v>1374.64</v>
      </c>
      <c r="Y223">
        <v>126801.66</v>
      </c>
      <c r="Z223">
        <v>8.5596999999999994</v>
      </c>
      <c r="AA223">
        <v>8.3818999999999999</v>
      </c>
      <c r="AB223">
        <v>9.0433000000000003</v>
      </c>
      <c r="AC223">
        <v>7.9238999999999997</v>
      </c>
      <c r="AD223">
        <v>7.46</v>
      </c>
      <c r="AE223">
        <v>6.5888</v>
      </c>
      <c r="AF223">
        <v>4.1500000000000004</v>
      </c>
      <c r="AG223">
        <v>1.1858</v>
      </c>
      <c r="AH223">
        <v>111.11</v>
      </c>
      <c r="AI223">
        <v>1.3831</v>
      </c>
      <c r="AJ223">
        <v>1.2398</v>
      </c>
      <c r="AK223">
        <v>8.5509000000000004</v>
      </c>
      <c r="AL223">
        <v>0.92500000000000004</v>
      </c>
      <c r="AM223">
        <v>186.63</v>
      </c>
      <c r="AN223">
        <v>102.41</v>
      </c>
      <c r="AO223">
        <v>100.8</v>
      </c>
      <c r="AP223">
        <v>96.65</v>
      </c>
      <c r="AQ223">
        <v>96.36</v>
      </c>
    </row>
    <row r="224" spans="1:43" x14ac:dyDescent="0.25">
      <c r="A224" s="1">
        <v>44407</v>
      </c>
      <c r="B224">
        <v>4.0599999999999997E-2</v>
      </c>
      <c r="C224">
        <v>2.4E-2</v>
      </c>
      <c r="D224">
        <v>-0.67400000000000004</v>
      </c>
      <c r="E224">
        <v>-0.11600000000000001</v>
      </c>
      <c r="F224">
        <v>0.18390000000000001</v>
      </c>
      <c r="G224">
        <v>5.3999999999999999E-2</v>
      </c>
      <c r="H224">
        <v>-0.76700000000000002</v>
      </c>
      <c r="I224">
        <v>-0.128</v>
      </c>
      <c r="J224">
        <v>1.2222999999999999</v>
      </c>
      <c r="K224">
        <v>0.56420000000000003</v>
      </c>
      <c r="L224">
        <v>-0.46200000000000002</v>
      </c>
      <c r="M224">
        <v>1.6E-2</v>
      </c>
      <c r="N224">
        <v>18.239999999999998</v>
      </c>
      <c r="O224">
        <v>176.59399999999999</v>
      </c>
      <c r="P224">
        <v>92.174000000000007</v>
      </c>
      <c r="Q224">
        <v>123.3832</v>
      </c>
      <c r="R224">
        <v>5.2119</v>
      </c>
      <c r="S224">
        <v>73.95</v>
      </c>
      <c r="T224">
        <v>76.33</v>
      </c>
      <c r="U224">
        <v>485.74</v>
      </c>
      <c r="V224">
        <v>1200.3399999999999</v>
      </c>
      <c r="W224">
        <v>3069.25</v>
      </c>
      <c r="X224">
        <v>1277.8</v>
      </c>
      <c r="Y224">
        <v>121800.79</v>
      </c>
      <c r="Z224">
        <v>9.0991</v>
      </c>
      <c r="AA224">
        <v>8.9521999999999995</v>
      </c>
      <c r="AB224">
        <v>9.5152000000000001</v>
      </c>
      <c r="AC224">
        <v>8.6100999999999992</v>
      </c>
      <c r="AD224">
        <v>8.2477</v>
      </c>
      <c r="AE224">
        <v>7.4795999999999996</v>
      </c>
      <c r="AF224">
        <v>4.1500000000000004</v>
      </c>
      <c r="AG224">
        <v>1.1870000000000001</v>
      </c>
      <c r="AH224">
        <v>109.72</v>
      </c>
      <c r="AI224">
        <v>1.3904000000000001</v>
      </c>
      <c r="AJ224">
        <v>1.2475000000000001</v>
      </c>
      <c r="AK224">
        <v>8.5914999999999999</v>
      </c>
      <c r="AL224">
        <v>0.90590000000000004</v>
      </c>
      <c r="AM224">
        <v>186.63</v>
      </c>
      <c r="AN224">
        <v>107.53</v>
      </c>
      <c r="AO224">
        <v>99.28</v>
      </c>
      <c r="AP224">
        <v>96.32</v>
      </c>
      <c r="AQ224">
        <v>99.78</v>
      </c>
    </row>
    <row r="225" spans="1:43" x14ac:dyDescent="0.25">
      <c r="A225" s="1">
        <v>44439</v>
      </c>
      <c r="B225">
        <v>3.5499999999999997E-2</v>
      </c>
      <c r="C225">
        <v>4.0000000000000001E-3</v>
      </c>
      <c r="D225">
        <v>-0.67800000000000005</v>
      </c>
      <c r="E225">
        <v>-0.11899999999999999</v>
      </c>
      <c r="F225">
        <v>0.20930000000000001</v>
      </c>
      <c r="G225">
        <v>0.21590000000000001</v>
      </c>
      <c r="H225">
        <v>-0.72199999999999998</v>
      </c>
      <c r="I225">
        <v>-0.13100000000000001</v>
      </c>
      <c r="J225">
        <v>1.3088</v>
      </c>
      <c r="K225">
        <v>0.71260000000000001</v>
      </c>
      <c r="L225">
        <v>-0.38500000000000001</v>
      </c>
      <c r="M225">
        <v>0.02</v>
      </c>
      <c r="N225">
        <v>16.48</v>
      </c>
      <c r="O225">
        <v>176.05199999999999</v>
      </c>
      <c r="P225">
        <v>92.626000000000005</v>
      </c>
      <c r="Q225">
        <v>123.7116</v>
      </c>
      <c r="R225">
        <v>5.1528999999999998</v>
      </c>
      <c r="S225">
        <v>68.5</v>
      </c>
      <c r="T225">
        <v>72.989999999999995</v>
      </c>
      <c r="U225">
        <v>482.74</v>
      </c>
      <c r="V225">
        <v>1172.82</v>
      </c>
      <c r="W225">
        <v>3141.35</v>
      </c>
      <c r="X225">
        <v>1308.67</v>
      </c>
      <c r="Y225">
        <v>118781.03</v>
      </c>
      <c r="Z225">
        <v>9.6370000000000005</v>
      </c>
      <c r="AA225">
        <v>9.8558000000000003</v>
      </c>
      <c r="AB225">
        <v>10.432399999999999</v>
      </c>
      <c r="AC225">
        <v>9.4255999999999993</v>
      </c>
      <c r="AD225">
        <v>9.0161999999999995</v>
      </c>
      <c r="AE225">
        <v>8.1920000000000002</v>
      </c>
      <c r="AF225">
        <v>5.15</v>
      </c>
      <c r="AG225">
        <v>1.1809000000000001</v>
      </c>
      <c r="AH225">
        <v>110.02</v>
      </c>
      <c r="AI225">
        <v>1.3754999999999999</v>
      </c>
      <c r="AJ225">
        <v>1.2616000000000001</v>
      </c>
      <c r="AK225">
        <v>8.6237999999999992</v>
      </c>
      <c r="AL225">
        <v>0.91510000000000002</v>
      </c>
      <c r="AM225">
        <v>186.63</v>
      </c>
      <c r="AN225">
        <v>108.81</v>
      </c>
      <c r="AO225">
        <v>99.42</v>
      </c>
      <c r="AP225">
        <v>96.94</v>
      </c>
      <c r="AQ225">
        <v>99.15</v>
      </c>
    </row>
    <row r="226" spans="1:43" x14ac:dyDescent="0.25">
      <c r="A226" s="1">
        <v>44469</v>
      </c>
      <c r="B226">
        <v>3.3000000000000002E-2</v>
      </c>
      <c r="C226">
        <v>1.7000000000000001E-2</v>
      </c>
      <c r="D226">
        <v>-0.67400000000000004</v>
      </c>
      <c r="E226">
        <v>-0.14499999999999999</v>
      </c>
      <c r="F226">
        <v>0.27550000000000002</v>
      </c>
      <c r="G226">
        <v>0.40510000000000002</v>
      </c>
      <c r="H226">
        <v>-0.69499999999999995</v>
      </c>
      <c r="I226">
        <v>-0.128</v>
      </c>
      <c r="J226">
        <v>1.4873000000000001</v>
      </c>
      <c r="K226">
        <v>1.0207999999999999</v>
      </c>
      <c r="L226">
        <v>-0.2</v>
      </c>
      <c r="M226">
        <v>6.6000000000000003E-2</v>
      </c>
      <c r="N226">
        <v>23.14</v>
      </c>
      <c r="O226">
        <v>206.01</v>
      </c>
      <c r="P226">
        <v>94.23</v>
      </c>
      <c r="Q226">
        <v>123.464</v>
      </c>
      <c r="R226">
        <v>5.4428999999999998</v>
      </c>
      <c r="S226">
        <v>75.03</v>
      </c>
      <c r="T226">
        <v>78.52</v>
      </c>
      <c r="U226">
        <v>470.37</v>
      </c>
      <c r="V226">
        <v>1152.94</v>
      </c>
      <c r="W226">
        <v>3006.6</v>
      </c>
      <c r="X226">
        <v>1253.0999999999999</v>
      </c>
      <c r="Y226">
        <v>110979.1</v>
      </c>
      <c r="Z226">
        <v>10.669</v>
      </c>
      <c r="AA226">
        <v>10.6061</v>
      </c>
      <c r="AB226">
        <v>11.073499999999999</v>
      </c>
      <c r="AC226">
        <v>10.25</v>
      </c>
      <c r="AD226">
        <v>9.8312000000000008</v>
      </c>
      <c r="AE226">
        <v>8.9413</v>
      </c>
      <c r="AF226">
        <v>6.15</v>
      </c>
      <c r="AG226">
        <v>1.1579999999999999</v>
      </c>
      <c r="AH226">
        <v>111.29</v>
      </c>
      <c r="AI226">
        <v>1.3473999999999999</v>
      </c>
      <c r="AJ226">
        <v>1.268</v>
      </c>
      <c r="AK226">
        <v>8.7620000000000005</v>
      </c>
      <c r="AL226">
        <v>0.93169999999999997</v>
      </c>
      <c r="AM226">
        <v>186.63</v>
      </c>
      <c r="AN226">
        <v>106.61</v>
      </c>
      <c r="AO226">
        <v>99.06</v>
      </c>
      <c r="AP226">
        <v>96.91</v>
      </c>
      <c r="AQ226">
        <v>97.02</v>
      </c>
    </row>
    <row r="227" spans="1:43" x14ac:dyDescent="0.25">
      <c r="A227" s="1">
        <v>44498</v>
      </c>
      <c r="B227">
        <v>4.82E-2</v>
      </c>
      <c r="C227">
        <v>4.2999999999999997E-2</v>
      </c>
      <c r="D227">
        <v>-0.84499999999999997</v>
      </c>
      <c r="E227">
        <v>-0.11799999999999999</v>
      </c>
      <c r="F227">
        <v>0.497</v>
      </c>
      <c r="G227">
        <v>0.70050000000000001</v>
      </c>
      <c r="H227">
        <v>-0.59099999999999997</v>
      </c>
      <c r="I227">
        <v>-0.10199999999999999</v>
      </c>
      <c r="J227">
        <v>1.5521</v>
      </c>
      <c r="K227">
        <v>1.0318000000000001</v>
      </c>
      <c r="L227">
        <v>-0.107</v>
      </c>
      <c r="M227">
        <v>9.4E-2</v>
      </c>
      <c r="N227">
        <v>16.260000000000002</v>
      </c>
      <c r="O227">
        <v>246.86</v>
      </c>
      <c r="P227">
        <v>94.123000000000005</v>
      </c>
      <c r="Q227">
        <v>124.3734</v>
      </c>
      <c r="R227">
        <v>5.6364000000000001</v>
      </c>
      <c r="S227">
        <v>83.57</v>
      </c>
      <c r="T227">
        <v>84.38</v>
      </c>
      <c r="U227">
        <v>476.64</v>
      </c>
      <c r="V227">
        <v>1228.22</v>
      </c>
      <c r="W227">
        <v>3174.73</v>
      </c>
      <c r="X227">
        <v>1264.75</v>
      </c>
      <c r="Y227">
        <v>103500.71</v>
      </c>
      <c r="Z227">
        <v>12.3673</v>
      </c>
      <c r="AA227">
        <v>12.2479</v>
      </c>
      <c r="AB227">
        <v>12.315200000000001</v>
      </c>
      <c r="AC227">
        <v>12.1713</v>
      </c>
      <c r="AD227">
        <v>12.280200000000001</v>
      </c>
      <c r="AE227">
        <v>11.940099999999999</v>
      </c>
      <c r="AF227">
        <v>7.65</v>
      </c>
      <c r="AG227">
        <v>1.1557999999999999</v>
      </c>
      <c r="AH227">
        <v>113.95</v>
      </c>
      <c r="AI227">
        <v>1.3682000000000001</v>
      </c>
      <c r="AJ227">
        <v>1.2387999999999999</v>
      </c>
      <c r="AK227">
        <v>8.5922000000000001</v>
      </c>
      <c r="AL227">
        <v>0.91610000000000003</v>
      </c>
      <c r="AM227">
        <v>186.63</v>
      </c>
      <c r="AN227">
        <v>104.57</v>
      </c>
      <c r="AO227">
        <v>98.67</v>
      </c>
      <c r="AP227">
        <v>97.38</v>
      </c>
      <c r="AQ227">
        <v>96.45</v>
      </c>
    </row>
    <row r="228" spans="1:43" x14ac:dyDescent="0.25">
      <c r="A228" s="1">
        <v>44530</v>
      </c>
      <c r="B228">
        <v>4.5600000000000002E-2</v>
      </c>
      <c r="C228">
        <v>-9.5000000000000001E-2</v>
      </c>
      <c r="D228">
        <v>-0.98699999999999999</v>
      </c>
      <c r="E228">
        <v>-0.161</v>
      </c>
      <c r="F228">
        <v>0.56499999999999995</v>
      </c>
      <c r="G228">
        <v>0.47020000000000001</v>
      </c>
      <c r="H228">
        <v>-0.746</v>
      </c>
      <c r="I228">
        <v>-0.129</v>
      </c>
      <c r="J228">
        <v>1.4442999999999999</v>
      </c>
      <c r="K228">
        <v>0.80720000000000003</v>
      </c>
      <c r="L228">
        <v>-0.35099999999999998</v>
      </c>
      <c r="M228">
        <v>5.2999999999999999E-2</v>
      </c>
      <c r="N228">
        <v>27.19</v>
      </c>
      <c r="O228">
        <v>257.44200000000001</v>
      </c>
      <c r="P228">
        <v>95.994</v>
      </c>
      <c r="Q228">
        <v>124.8764</v>
      </c>
      <c r="R228">
        <v>5.6237000000000004</v>
      </c>
      <c r="S228">
        <v>66.180000000000007</v>
      </c>
      <c r="T228">
        <v>70.569999999999993</v>
      </c>
      <c r="U228">
        <v>469.89</v>
      </c>
      <c r="V228">
        <v>1252.74</v>
      </c>
      <c r="W228">
        <v>3101.8</v>
      </c>
      <c r="X228">
        <v>1212.42</v>
      </c>
      <c r="Y228">
        <v>101915.45</v>
      </c>
      <c r="Z228">
        <v>11.741199999999999</v>
      </c>
      <c r="AA228">
        <v>11.38</v>
      </c>
      <c r="AB228">
        <v>11.3489</v>
      </c>
      <c r="AC228">
        <v>11.499700000000001</v>
      </c>
      <c r="AD228">
        <v>11.6975</v>
      </c>
      <c r="AE228">
        <v>11.7681</v>
      </c>
      <c r="AF228">
        <v>7.65</v>
      </c>
      <c r="AG228">
        <v>1.1337999999999999</v>
      </c>
      <c r="AH228">
        <v>113.17</v>
      </c>
      <c r="AI228">
        <v>1.3299000000000001</v>
      </c>
      <c r="AJ228">
        <v>1.2779</v>
      </c>
      <c r="AK228">
        <v>9.0235000000000003</v>
      </c>
      <c r="AL228">
        <v>0.91890000000000005</v>
      </c>
      <c r="AM228">
        <v>186.63</v>
      </c>
      <c r="AN228">
        <v>100.56</v>
      </c>
      <c r="AO228">
        <v>98.68</v>
      </c>
      <c r="AP228">
        <v>99.05</v>
      </c>
      <c r="AQ228">
        <v>97.78</v>
      </c>
    </row>
    <row r="229" spans="1:43" x14ac:dyDescent="0.25">
      <c r="A229" s="1">
        <v>44561</v>
      </c>
      <c r="B229">
        <v>3.04E-2</v>
      </c>
      <c r="C229">
        <v>-4.8000000000000001E-2</v>
      </c>
      <c r="D229">
        <v>-0.73699999999999999</v>
      </c>
      <c r="E229">
        <v>-0.129</v>
      </c>
      <c r="F229">
        <v>0.73219999999999996</v>
      </c>
      <c r="G229">
        <v>0.66459999999999997</v>
      </c>
      <c r="H229">
        <v>-0.63600000000000001</v>
      </c>
      <c r="I229">
        <v>-9.4E-2</v>
      </c>
      <c r="J229">
        <v>1.5101</v>
      </c>
      <c r="K229">
        <v>0.9677</v>
      </c>
      <c r="L229">
        <v>-0.182</v>
      </c>
      <c r="M229">
        <v>6.5000000000000002E-2</v>
      </c>
      <c r="N229">
        <v>17.22</v>
      </c>
      <c r="O229">
        <v>205.251</v>
      </c>
      <c r="P229">
        <v>95.67</v>
      </c>
      <c r="Q229">
        <v>125.298</v>
      </c>
      <c r="R229">
        <v>5.5758000000000001</v>
      </c>
      <c r="S229">
        <v>75.209999999999994</v>
      </c>
      <c r="T229">
        <v>77.78</v>
      </c>
      <c r="U229">
        <v>490.58</v>
      </c>
      <c r="V229">
        <v>1277.6199999999999</v>
      </c>
      <c r="W229">
        <v>3231.73</v>
      </c>
      <c r="X229">
        <v>1232.01</v>
      </c>
      <c r="Y229">
        <v>104822.44</v>
      </c>
      <c r="Z229">
        <v>10.5526</v>
      </c>
      <c r="AA229">
        <v>10.610099999999999</v>
      </c>
      <c r="AB229">
        <v>10.713200000000001</v>
      </c>
      <c r="AC229">
        <v>10.6</v>
      </c>
      <c r="AD229">
        <v>10.9648</v>
      </c>
      <c r="AE229">
        <v>11.7944</v>
      </c>
      <c r="AF229">
        <v>9.15</v>
      </c>
      <c r="AG229">
        <v>1.137</v>
      </c>
      <c r="AH229">
        <v>115.08</v>
      </c>
      <c r="AI229">
        <v>1.3532</v>
      </c>
      <c r="AJ229">
        <v>1.2637</v>
      </c>
      <c r="AK229">
        <v>9.0541999999999998</v>
      </c>
      <c r="AL229">
        <v>0.91290000000000004</v>
      </c>
      <c r="AM229">
        <v>186.63</v>
      </c>
      <c r="AN229">
        <v>92.3</v>
      </c>
      <c r="AO229">
        <v>100.26</v>
      </c>
      <c r="AP229">
        <v>99.25</v>
      </c>
      <c r="AQ229">
        <v>99.32</v>
      </c>
    </row>
    <row r="230" spans="1:43" x14ac:dyDescent="0.25">
      <c r="A230" s="1">
        <v>44592</v>
      </c>
      <c r="B230">
        <v>0.18</v>
      </c>
      <c r="C230">
        <v>0.34899999999999998</v>
      </c>
      <c r="D230">
        <v>-0.67700000000000005</v>
      </c>
      <c r="E230">
        <v>-9.1999999999999998E-2</v>
      </c>
      <c r="F230">
        <v>1.1787000000000001</v>
      </c>
      <c r="G230">
        <v>1.0371999999999999</v>
      </c>
      <c r="H230">
        <v>-0.53600000000000003</v>
      </c>
      <c r="I230">
        <v>-5.2999999999999999E-2</v>
      </c>
      <c r="J230">
        <v>1.7766999999999999</v>
      </c>
      <c r="K230">
        <v>1.3008999999999999</v>
      </c>
      <c r="L230">
        <v>8.9999999999999993E-3</v>
      </c>
      <c r="M230">
        <v>0.17399999999999999</v>
      </c>
      <c r="N230">
        <v>24.83</v>
      </c>
      <c r="O230">
        <v>227.732</v>
      </c>
      <c r="P230">
        <v>96.54</v>
      </c>
      <c r="Q230">
        <v>124.33159999999999</v>
      </c>
      <c r="R230">
        <v>5.3102</v>
      </c>
      <c r="S230">
        <v>88.15</v>
      </c>
      <c r="T230">
        <v>91.21</v>
      </c>
      <c r="U230">
        <v>503.15</v>
      </c>
      <c r="V230">
        <v>1268.55</v>
      </c>
      <c r="W230">
        <v>3059.05</v>
      </c>
      <c r="X230">
        <v>1208.23</v>
      </c>
      <c r="Y230">
        <v>112143.51</v>
      </c>
      <c r="Z230">
        <v>11.2186</v>
      </c>
      <c r="AA230">
        <v>11.2265</v>
      </c>
      <c r="AB230">
        <v>11.3621</v>
      </c>
      <c r="AC230">
        <v>11.2624</v>
      </c>
      <c r="AD230">
        <v>11.706300000000001</v>
      </c>
      <c r="AE230">
        <v>12.2492</v>
      </c>
      <c r="AF230">
        <v>9.15</v>
      </c>
      <c r="AG230">
        <v>1.1234999999999999</v>
      </c>
      <c r="AH230">
        <v>115.11</v>
      </c>
      <c r="AI230">
        <v>1.3447</v>
      </c>
      <c r="AJ230">
        <v>1.2707999999999999</v>
      </c>
      <c r="AK230">
        <v>9.3230000000000004</v>
      </c>
      <c r="AL230">
        <v>0.92720000000000002</v>
      </c>
      <c r="AM230">
        <v>186.63</v>
      </c>
      <c r="AN230">
        <v>90.13</v>
      </c>
      <c r="AO230">
        <v>100</v>
      </c>
      <c r="AP230">
        <v>97.47</v>
      </c>
      <c r="AQ230">
        <v>91.8</v>
      </c>
    </row>
    <row r="231" spans="1:43" x14ac:dyDescent="0.25">
      <c r="A231" s="1">
        <v>44620</v>
      </c>
      <c r="B231">
        <v>0.29170000000000001</v>
      </c>
      <c r="C231">
        <v>0.58799999999999997</v>
      </c>
      <c r="D231">
        <v>-0.752</v>
      </c>
      <c r="E231">
        <v>-0.09</v>
      </c>
      <c r="F231">
        <v>1.4322999999999999</v>
      </c>
      <c r="G231">
        <v>1.0301</v>
      </c>
      <c r="H231">
        <v>-0.53900000000000003</v>
      </c>
      <c r="I231">
        <v>-3.1E-2</v>
      </c>
      <c r="J231">
        <v>1.825</v>
      </c>
      <c r="K231">
        <v>1.4078999999999999</v>
      </c>
      <c r="L231">
        <v>0.13200000000000001</v>
      </c>
      <c r="M231">
        <v>0.187</v>
      </c>
      <c r="N231">
        <v>30.15</v>
      </c>
      <c r="O231">
        <v>223.39099999999999</v>
      </c>
      <c r="P231">
        <v>96.706999999999994</v>
      </c>
      <c r="Q231">
        <v>124.04179999999999</v>
      </c>
      <c r="R231">
        <v>5.1521999999999997</v>
      </c>
      <c r="S231">
        <v>95.72</v>
      </c>
      <c r="T231">
        <v>100.99</v>
      </c>
      <c r="U231">
        <v>552.16999999999996</v>
      </c>
      <c r="V231">
        <v>1289.47</v>
      </c>
      <c r="W231">
        <v>2977.95</v>
      </c>
      <c r="X231">
        <v>1171.31</v>
      </c>
      <c r="Y231">
        <v>113141.94</v>
      </c>
      <c r="Z231">
        <v>11.3744</v>
      </c>
      <c r="AA231">
        <v>11.319900000000001</v>
      </c>
      <c r="AB231">
        <v>11.63</v>
      </c>
      <c r="AC231">
        <v>11.395300000000001</v>
      </c>
      <c r="AD231">
        <v>11.88</v>
      </c>
      <c r="AE231">
        <v>12.472099999999999</v>
      </c>
      <c r="AF231">
        <v>10.65</v>
      </c>
      <c r="AG231">
        <v>1.1218999999999999</v>
      </c>
      <c r="AH231">
        <v>115</v>
      </c>
      <c r="AI231">
        <v>1.3420000000000001</v>
      </c>
      <c r="AJ231">
        <v>1.2675000000000001</v>
      </c>
      <c r="AK231">
        <v>9.4723000000000006</v>
      </c>
      <c r="AL231">
        <v>0.91679999999999995</v>
      </c>
      <c r="AM231">
        <v>186.63</v>
      </c>
      <c r="AN231">
        <v>89.77</v>
      </c>
      <c r="AO231">
        <v>100.94</v>
      </c>
      <c r="AP231">
        <v>98.51</v>
      </c>
      <c r="AQ231">
        <v>95.57</v>
      </c>
    </row>
    <row r="232" spans="1:43" x14ac:dyDescent="0.25">
      <c r="A232" s="1">
        <v>44651</v>
      </c>
      <c r="B232">
        <v>0.48220000000000002</v>
      </c>
      <c r="C232">
        <v>0.55800000000000005</v>
      </c>
      <c r="D232">
        <v>-0.76300000000000001</v>
      </c>
      <c r="E232">
        <v>-0.1</v>
      </c>
      <c r="F232">
        <v>2.3344999999999998</v>
      </c>
      <c r="G232">
        <v>1.3438000000000001</v>
      </c>
      <c r="H232">
        <v>-0.08</v>
      </c>
      <c r="I232">
        <v>-0.04</v>
      </c>
      <c r="J232">
        <v>2.3380000000000001</v>
      </c>
      <c r="K232">
        <v>1.6089</v>
      </c>
      <c r="L232">
        <v>0.54500000000000004</v>
      </c>
      <c r="M232">
        <v>0.21</v>
      </c>
      <c r="N232">
        <v>20.56</v>
      </c>
      <c r="O232">
        <v>208.786</v>
      </c>
      <c r="P232">
        <v>98.311999999999998</v>
      </c>
      <c r="Q232">
        <v>124.76179999999999</v>
      </c>
      <c r="R232">
        <v>4.7416999999999998</v>
      </c>
      <c r="S232">
        <v>100.28</v>
      </c>
      <c r="T232">
        <v>107.91</v>
      </c>
      <c r="U232">
        <v>568.4</v>
      </c>
      <c r="V232">
        <v>1409.45</v>
      </c>
      <c r="W232">
        <v>3053.07</v>
      </c>
      <c r="X232">
        <v>1141.79</v>
      </c>
      <c r="Y232">
        <v>119999.23</v>
      </c>
      <c r="Z232">
        <v>11.2721</v>
      </c>
      <c r="AA232">
        <v>11.2117</v>
      </c>
      <c r="AB232">
        <v>11.527799999999999</v>
      </c>
      <c r="AC232">
        <v>11.355</v>
      </c>
      <c r="AD232">
        <v>11.8607</v>
      </c>
      <c r="AE232">
        <v>12.7006</v>
      </c>
      <c r="AF232">
        <v>11.65</v>
      </c>
      <c r="AG232">
        <v>1.1067</v>
      </c>
      <c r="AH232">
        <v>121.7</v>
      </c>
      <c r="AI232">
        <v>1.3138000000000001</v>
      </c>
      <c r="AJ232">
        <v>1.2504999999999999</v>
      </c>
      <c r="AK232">
        <v>9.3971999999999998</v>
      </c>
      <c r="AL232">
        <v>0.92249999999999999</v>
      </c>
      <c r="AM232">
        <v>186.63</v>
      </c>
      <c r="AN232">
        <v>98.37</v>
      </c>
      <c r="AO232">
        <v>100.08</v>
      </c>
      <c r="AP232">
        <v>99.47</v>
      </c>
      <c r="AQ232">
        <v>104.64</v>
      </c>
    </row>
    <row r="233" spans="1:43" x14ac:dyDescent="0.25">
      <c r="A233" s="1">
        <v>44680</v>
      </c>
      <c r="B233">
        <v>0.82289999999999996</v>
      </c>
      <c r="C233">
        <v>0.91800000000000004</v>
      </c>
      <c r="D233">
        <v>-0.72099999999999997</v>
      </c>
      <c r="E233">
        <v>-0.15</v>
      </c>
      <c r="F233">
        <v>2.7145999999999999</v>
      </c>
      <c r="G233">
        <v>1.5790999999999999</v>
      </c>
      <c r="H233">
        <v>0.254</v>
      </c>
      <c r="I233">
        <v>-5.8000000000000003E-2</v>
      </c>
      <c r="J233">
        <v>2.9336000000000002</v>
      </c>
      <c r="K233">
        <v>1.9040999999999999</v>
      </c>
      <c r="L233">
        <v>0.93700000000000006</v>
      </c>
      <c r="M233">
        <v>0.221</v>
      </c>
      <c r="N233">
        <v>33.4</v>
      </c>
      <c r="O233">
        <v>229.60499999999999</v>
      </c>
      <c r="P233">
        <v>102.959</v>
      </c>
      <c r="Q233">
        <v>124.54430000000001</v>
      </c>
      <c r="R233">
        <v>4.9721000000000002</v>
      </c>
      <c r="S233">
        <v>104.69</v>
      </c>
      <c r="T233">
        <v>109.34</v>
      </c>
      <c r="U233">
        <v>590.92999999999995</v>
      </c>
      <c r="V233">
        <v>1361.98</v>
      </c>
      <c r="W233">
        <v>2795.62</v>
      </c>
      <c r="X233">
        <v>1076.19</v>
      </c>
      <c r="Y233">
        <v>107876.16</v>
      </c>
      <c r="Z233">
        <v>11.916399999999999</v>
      </c>
      <c r="AA233">
        <v>11.8018</v>
      </c>
      <c r="AB233">
        <v>12.1226</v>
      </c>
      <c r="AC233">
        <v>11.9773</v>
      </c>
      <c r="AD233">
        <v>12.3878</v>
      </c>
      <c r="AE233">
        <v>13.0062</v>
      </c>
      <c r="AF233">
        <v>11.65</v>
      </c>
      <c r="AG233">
        <v>1.0545</v>
      </c>
      <c r="AH233">
        <v>129.69999999999999</v>
      </c>
      <c r="AI233">
        <v>1.2574000000000001</v>
      </c>
      <c r="AJ233">
        <v>1.2847999999999999</v>
      </c>
      <c r="AK233">
        <v>9.8299000000000003</v>
      </c>
      <c r="AL233">
        <v>0.9718</v>
      </c>
      <c r="AM233">
        <v>186.63</v>
      </c>
      <c r="AN233">
        <v>94.63</v>
      </c>
      <c r="AO233">
        <v>100.75</v>
      </c>
      <c r="AP233">
        <v>99.68</v>
      </c>
      <c r="AQ233">
        <v>100.12</v>
      </c>
    </row>
    <row r="234" spans="1:43" x14ac:dyDescent="0.25">
      <c r="A234" s="1">
        <v>44712</v>
      </c>
      <c r="B234">
        <v>1.0391999999999999</v>
      </c>
      <c r="C234">
        <v>0.878</v>
      </c>
      <c r="D234">
        <v>-0.63900000000000001</v>
      </c>
      <c r="E234">
        <v>-0.1</v>
      </c>
      <c r="F234">
        <v>2.5565000000000002</v>
      </c>
      <c r="G234">
        <v>1.5729</v>
      </c>
      <c r="H234">
        <v>0.49399999999999999</v>
      </c>
      <c r="I234">
        <v>-7.9000000000000001E-2</v>
      </c>
      <c r="J234">
        <v>2.8441000000000001</v>
      </c>
      <c r="K234">
        <v>2.1</v>
      </c>
      <c r="L234">
        <v>1.1200000000000001</v>
      </c>
      <c r="M234">
        <v>0.23499999999999999</v>
      </c>
      <c r="N234">
        <v>26.19</v>
      </c>
      <c r="O234">
        <v>223.72800000000001</v>
      </c>
      <c r="P234">
        <v>101.752</v>
      </c>
      <c r="Q234">
        <v>126.89919999999999</v>
      </c>
      <c r="R234">
        <v>4.7336</v>
      </c>
      <c r="S234">
        <v>114.67</v>
      </c>
      <c r="T234">
        <v>122.84</v>
      </c>
      <c r="U234">
        <v>588.73</v>
      </c>
      <c r="V234">
        <v>1267.79</v>
      </c>
      <c r="W234">
        <v>2791.01</v>
      </c>
      <c r="X234">
        <v>1077.67</v>
      </c>
      <c r="Y234">
        <v>111350.51</v>
      </c>
      <c r="Z234">
        <v>12.189</v>
      </c>
      <c r="AA234">
        <v>12.109400000000001</v>
      </c>
      <c r="AB234">
        <v>12.336399999999999</v>
      </c>
      <c r="AC234">
        <v>12.1808</v>
      </c>
      <c r="AD234">
        <v>12.5906</v>
      </c>
      <c r="AE234">
        <v>13.382999999999999</v>
      </c>
      <c r="AF234">
        <v>12.65</v>
      </c>
      <c r="AG234">
        <v>1.0733999999999999</v>
      </c>
      <c r="AH234">
        <v>128.66999999999999</v>
      </c>
      <c r="AI234">
        <v>1.2602</v>
      </c>
      <c r="AJ234">
        <v>1.2646999999999999</v>
      </c>
      <c r="AK234">
        <v>9.7624999999999993</v>
      </c>
      <c r="AL234">
        <v>0.95950000000000002</v>
      </c>
      <c r="AM234">
        <v>186.63</v>
      </c>
      <c r="AN234">
        <v>102.66</v>
      </c>
      <c r="AO234">
        <v>100.24</v>
      </c>
      <c r="AP234">
        <v>99.68</v>
      </c>
      <c r="AQ234">
        <v>99.74</v>
      </c>
    </row>
    <row r="235" spans="1:43" x14ac:dyDescent="0.25">
      <c r="A235" s="1">
        <v>44742</v>
      </c>
      <c r="B235">
        <v>1.6262000000000001</v>
      </c>
      <c r="C235">
        <v>1.1890000000000001</v>
      </c>
      <c r="D235">
        <v>-0.499</v>
      </c>
      <c r="E235">
        <v>-0.14499999999999999</v>
      </c>
      <c r="F235">
        <v>2.9533</v>
      </c>
      <c r="G235">
        <v>1.8315999999999999</v>
      </c>
      <c r="H235">
        <v>0.63200000000000001</v>
      </c>
      <c r="I235">
        <v>-6.5000000000000002E-2</v>
      </c>
      <c r="J235">
        <v>3.0129000000000001</v>
      </c>
      <c r="K235">
        <v>2.2275999999999998</v>
      </c>
      <c r="L235">
        <v>1.333</v>
      </c>
      <c r="M235">
        <v>0.22500000000000001</v>
      </c>
      <c r="N235">
        <v>28.71</v>
      </c>
      <c r="O235">
        <v>294.83800000000002</v>
      </c>
      <c r="P235">
        <v>104.685</v>
      </c>
      <c r="Q235">
        <v>127.1571</v>
      </c>
      <c r="R235">
        <v>5.2568000000000001</v>
      </c>
      <c r="S235">
        <v>105.76</v>
      </c>
      <c r="T235">
        <v>114.81</v>
      </c>
      <c r="U235">
        <v>571.38</v>
      </c>
      <c r="V235">
        <v>1098.6500000000001</v>
      </c>
      <c r="W235">
        <v>2546.19</v>
      </c>
      <c r="X235">
        <v>1000.67</v>
      </c>
      <c r="Y235">
        <v>98541.95</v>
      </c>
      <c r="Z235">
        <v>12.7563</v>
      </c>
      <c r="AA235">
        <v>12.666</v>
      </c>
      <c r="AB235">
        <v>12.881600000000001</v>
      </c>
      <c r="AC235">
        <v>12.638299999999999</v>
      </c>
      <c r="AD235">
        <v>13.0563</v>
      </c>
      <c r="AE235">
        <v>13.8</v>
      </c>
      <c r="AF235">
        <v>13.15</v>
      </c>
      <c r="AG235">
        <v>1.0484</v>
      </c>
      <c r="AH235">
        <v>135.72</v>
      </c>
      <c r="AI235">
        <v>1.2178</v>
      </c>
      <c r="AJ235">
        <v>1.2873000000000001</v>
      </c>
      <c r="AK235">
        <v>10.2239</v>
      </c>
      <c r="AL235">
        <v>0.95509999999999995</v>
      </c>
      <c r="AM235">
        <v>186.63</v>
      </c>
      <c r="AN235">
        <v>101.8</v>
      </c>
      <c r="AO235">
        <v>100.19</v>
      </c>
      <c r="AP235">
        <v>99.48</v>
      </c>
      <c r="AQ235">
        <v>99.25</v>
      </c>
    </row>
    <row r="236" spans="1:43" x14ac:dyDescent="0.25">
      <c r="A236" s="1">
        <v>44771</v>
      </c>
      <c r="B236">
        <v>2.3168000000000002</v>
      </c>
      <c r="C236">
        <v>1.722</v>
      </c>
      <c r="D236">
        <v>-0.06</v>
      </c>
      <c r="E236">
        <v>-0.14799999999999999</v>
      </c>
      <c r="F236">
        <v>2.8843999999999999</v>
      </c>
      <c r="G236">
        <v>1.6956</v>
      </c>
      <c r="H236">
        <v>0.26400000000000001</v>
      </c>
      <c r="I236">
        <v>-8.7999999999999995E-2</v>
      </c>
      <c r="J236">
        <v>2.6486999999999998</v>
      </c>
      <c r="K236">
        <v>1.8614999999999999</v>
      </c>
      <c r="L236">
        <v>0.81399999999999995</v>
      </c>
      <c r="M236">
        <v>0.17799999999999999</v>
      </c>
      <c r="N236">
        <v>21.33</v>
      </c>
      <c r="O236">
        <v>273.589</v>
      </c>
      <c r="P236">
        <v>105.90300000000001</v>
      </c>
      <c r="Q236">
        <v>129.77250000000001</v>
      </c>
      <c r="R236">
        <v>5.1733000000000002</v>
      </c>
      <c r="S236">
        <v>98.62</v>
      </c>
      <c r="T236">
        <v>110.01</v>
      </c>
      <c r="U236">
        <v>549.30999999999995</v>
      </c>
      <c r="V236">
        <v>1070.05</v>
      </c>
      <c r="W236">
        <v>2746.37</v>
      </c>
      <c r="X236">
        <v>993.78</v>
      </c>
      <c r="Y236">
        <v>103164.69</v>
      </c>
      <c r="Z236">
        <v>12.709300000000001</v>
      </c>
      <c r="AA236">
        <v>12.636100000000001</v>
      </c>
      <c r="AB236">
        <v>12.7974</v>
      </c>
      <c r="AC236">
        <v>12.6104</v>
      </c>
      <c r="AD236">
        <v>12.9467</v>
      </c>
      <c r="AE236">
        <v>13.736700000000001</v>
      </c>
      <c r="AF236">
        <v>13.15</v>
      </c>
      <c r="AG236">
        <v>1.022</v>
      </c>
      <c r="AH236">
        <v>133.27000000000001</v>
      </c>
      <c r="AI236">
        <v>1.2171000000000001</v>
      </c>
      <c r="AJ236">
        <v>1.2795000000000001</v>
      </c>
      <c r="AK236">
        <v>10.155099999999999</v>
      </c>
      <c r="AL236">
        <v>0.95240000000000002</v>
      </c>
      <c r="AM236">
        <v>186.63</v>
      </c>
      <c r="AN236">
        <v>107.15</v>
      </c>
      <c r="AO236">
        <v>101.07</v>
      </c>
      <c r="AP236">
        <v>101.41</v>
      </c>
      <c r="AQ236">
        <v>104</v>
      </c>
    </row>
    <row r="237" spans="1:43" x14ac:dyDescent="0.25">
      <c r="A237" s="1">
        <v>44804</v>
      </c>
      <c r="B237">
        <v>2.9003000000000001</v>
      </c>
      <c r="C237">
        <v>2.258</v>
      </c>
      <c r="D237">
        <v>3.2000000000000001E-2</v>
      </c>
      <c r="E237">
        <v>-0.11799999999999999</v>
      </c>
      <c r="F237">
        <v>3.4929000000000001</v>
      </c>
      <c r="G237">
        <v>2.9944000000000002</v>
      </c>
      <c r="H237">
        <v>1.1839999999999999</v>
      </c>
      <c r="I237">
        <v>-8.6999999999999994E-2</v>
      </c>
      <c r="J237">
        <v>3.1926000000000001</v>
      </c>
      <c r="K237">
        <v>2.7984</v>
      </c>
      <c r="L237">
        <v>1.5369999999999999</v>
      </c>
      <c r="M237">
        <v>0.22</v>
      </c>
      <c r="N237">
        <v>25.87</v>
      </c>
      <c r="O237">
        <v>263.24599999999998</v>
      </c>
      <c r="P237">
        <v>108.7</v>
      </c>
      <c r="Q237">
        <v>129.023</v>
      </c>
      <c r="R237">
        <v>5.1839000000000004</v>
      </c>
      <c r="S237">
        <v>89.55</v>
      </c>
      <c r="T237">
        <v>96.49</v>
      </c>
      <c r="U237">
        <v>560.84</v>
      </c>
      <c r="V237">
        <v>1032.73</v>
      </c>
      <c r="W237">
        <v>2627.32</v>
      </c>
      <c r="X237">
        <v>994.11</v>
      </c>
      <c r="Y237">
        <v>109522.88</v>
      </c>
      <c r="Z237">
        <v>11.9307</v>
      </c>
      <c r="AA237">
        <v>11.811999999999999</v>
      </c>
      <c r="AB237">
        <v>12.104200000000001</v>
      </c>
      <c r="AC237">
        <v>11.829700000000001</v>
      </c>
      <c r="AD237">
        <v>12.270899999999999</v>
      </c>
      <c r="AE237">
        <v>13.415800000000001</v>
      </c>
      <c r="AF237">
        <v>13.65</v>
      </c>
      <c r="AG237">
        <v>1.0054000000000001</v>
      </c>
      <c r="AH237">
        <v>138.96</v>
      </c>
      <c r="AI237">
        <v>1.1621999999999999</v>
      </c>
      <c r="AJ237">
        <v>1.3129999999999999</v>
      </c>
      <c r="AK237">
        <v>10.659700000000001</v>
      </c>
      <c r="AL237">
        <v>0.97750000000000004</v>
      </c>
      <c r="AM237">
        <v>186.63</v>
      </c>
      <c r="AN237">
        <v>110.72</v>
      </c>
      <c r="AO237">
        <v>99.8</v>
      </c>
      <c r="AP237">
        <v>101.06</v>
      </c>
      <c r="AQ237">
        <v>104.53</v>
      </c>
    </row>
    <row r="238" spans="1:43" x14ac:dyDescent="0.25">
      <c r="A238" s="1">
        <v>44834</v>
      </c>
      <c r="B238">
        <v>3.2465999999999999</v>
      </c>
      <c r="C238">
        <v>2.48</v>
      </c>
      <c r="D238">
        <v>0.76200000000000001</v>
      </c>
      <c r="E238">
        <v>-0.21099999999999999</v>
      </c>
      <c r="F238">
        <v>4.2786999999999997</v>
      </c>
      <c r="G238">
        <v>4.1996000000000002</v>
      </c>
      <c r="H238">
        <v>1.7470000000000001</v>
      </c>
      <c r="I238">
        <v>-5.2999999999999999E-2</v>
      </c>
      <c r="J238">
        <v>3.8285999999999998</v>
      </c>
      <c r="K238">
        <v>4.0846</v>
      </c>
      <c r="L238">
        <v>2.105</v>
      </c>
      <c r="M238">
        <v>0.23799999999999999</v>
      </c>
      <c r="N238">
        <v>31.62</v>
      </c>
      <c r="O238">
        <v>312.63</v>
      </c>
      <c r="P238">
        <v>112.117</v>
      </c>
      <c r="Q238">
        <v>131.64510000000001</v>
      </c>
      <c r="R238">
        <v>5.4154999999999998</v>
      </c>
      <c r="S238">
        <v>79.489999999999995</v>
      </c>
      <c r="T238">
        <v>87.96</v>
      </c>
      <c r="U238">
        <v>547.21</v>
      </c>
      <c r="V238">
        <v>964.27</v>
      </c>
      <c r="W238">
        <v>2378.65</v>
      </c>
      <c r="X238">
        <v>875.79</v>
      </c>
      <c r="Y238">
        <v>110036.79</v>
      </c>
      <c r="Z238">
        <v>11.670999999999999</v>
      </c>
      <c r="AA238">
        <v>11.5778</v>
      </c>
      <c r="AB238">
        <v>11.825799999999999</v>
      </c>
      <c r="AC238">
        <v>11.4758</v>
      </c>
      <c r="AD238">
        <v>11.8124</v>
      </c>
      <c r="AE238">
        <v>13.1821</v>
      </c>
      <c r="AF238">
        <v>13.65</v>
      </c>
      <c r="AG238">
        <v>0.98019999999999996</v>
      </c>
      <c r="AH238">
        <v>144.74</v>
      </c>
      <c r="AI238">
        <v>1.117</v>
      </c>
      <c r="AJ238">
        <v>1.3829</v>
      </c>
      <c r="AK238">
        <v>11.0892</v>
      </c>
      <c r="AL238">
        <v>0.98699999999999999</v>
      </c>
      <c r="AM238">
        <v>186.63</v>
      </c>
      <c r="AN238">
        <v>105.57</v>
      </c>
      <c r="AO238">
        <v>98.16</v>
      </c>
      <c r="AP238">
        <v>101.08</v>
      </c>
      <c r="AQ238">
        <v>101.13</v>
      </c>
    </row>
    <row r="239" spans="1:43" x14ac:dyDescent="0.25">
      <c r="A239" s="1">
        <v>44865</v>
      </c>
      <c r="B239">
        <v>4.0559000000000003</v>
      </c>
      <c r="C239">
        <v>2.706</v>
      </c>
      <c r="D239">
        <v>0.95399999999999996</v>
      </c>
      <c r="E239">
        <v>-0.13</v>
      </c>
      <c r="F239">
        <v>4.4824000000000002</v>
      </c>
      <c r="G239">
        <v>3.2473000000000001</v>
      </c>
      <c r="H239">
        <v>1.927</v>
      </c>
      <c r="I239">
        <v>-5.0999999999999997E-2</v>
      </c>
      <c r="J239">
        <v>4.0477999999999996</v>
      </c>
      <c r="K239">
        <v>3.5065</v>
      </c>
      <c r="L239">
        <v>2.1389999999999998</v>
      </c>
      <c r="M239">
        <v>0.24099999999999999</v>
      </c>
      <c r="N239">
        <v>25.88</v>
      </c>
      <c r="O239">
        <v>277.01900000000001</v>
      </c>
      <c r="P239">
        <v>111.527</v>
      </c>
      <c r="Q239">
        <v>133.66200000000001</v>
      </c>
      <c r="R239">
        <v>5.1797000000000004</v>
      </c>
      <c r="S239">
        <v>86.53</v>
      </c>
      <c r="T239">
        <v>94.83</v>
      </c>
      <c r="U239">
        <v>552.23</v>
      </c>
      <c r="V239">
        <v>913.51</v>
      </c>
      <c r="W239">
        <v>2547.7199999999998</v>
      </c>
      <c r="X239">
        <v>848.16</v>
      </c>
      <c r="Y239">
        <v>116037.08</v>
      </c>
      <c r="Z239">
        <v>11.601900000000001</v>
      </c>
      <c r="AA239">
        <v>11.505100000000001</v>
      </c>
      <c r="AB239">
        <v>11.6593</v>
      </c>
      <c r="AC239">
        <v>11.5464</v>
      </c>
      <c r="AD239">
        <v>11.8489</v>
      </c>
      <c r="AE239">
        <v>13.142300000000001</v>
      </c>
      <c r="AF239">
        <v>13.65</v>
      </c>
      <c r="AG239">
        <v>0.98819999999999997</v>
      </c>
      <c r="AH239">
        <v>148.71</v>
      </c>
      <c r="AI239">
        <v>1.1469</v>
      </c>
      <c r="AJ239">
        <v>1.3624000000000001</v>
      </c>
      <c r="AK239">
        <v>11.037000000000001</v>
      </c>
      <c r="AL239">
        <v>1.0013000000000001</v>
      </c>
      <c r="AM239">
        <v>186.63</v>
      </c>
      <c r="AN239">
        <v>105.86</v>
      </c>
      <c r="AO239">
        <v>99.79</v>
      </c>
      <c r="AP239">
        <v>101.49</v>
      </c>
      <c r="AQ239">
        <v>100.17</v>
      </c>
    </row>
    <row r="240" spans="1:43" x14ac:dyDescent="0.25">
      <c r="A240" s="1">
        <v>44895</v>
      </c>
      <c r="B240">
        <v>4.3196000000000003</v>
      </c>
      <c r="C240">
        <v>2.9750000000000001</v>
      </c>
      <c r="D240">
        <v>1.2190000000000001</v>
      </c>
      <c r="E240">
        <v>-0.18099999999999999</v>
      </c>
      <c r="F240">
        <v>4.3102</v>
      </c>
      <c r="G240">
        <v>3.2568999999999999</v>
      </c>
      <c r="H240">
        <v>2.1120000000000001</v>
      </c>
      <c r="I240">
        <v>-2.9000000000000001E-2</v>
      </c>
      <c r="J240">
        <v>3.6053999999999999</v>
      </c>
      <c r="K240">
        <v>3.1553</v>
      </c>
      <c r="L240">
        <v>1.9259999999999999</v>
      </c>
      <c r="M240">
        <v>0.249</v>
      </c>
      <c r="N240">
        <v>20.58</v>
      </c>
      <c r="O240">
        <v>246.94399999999999</v>
      </c>
      <c r="P240">
        <v>105.95</v>
      </c>
      <c r="Q240">
        <v>131.8784</v>
      </c>
      <c r="R240">
        <v>5.1905999999999999</v>
      </c>
      <c r="S240">
        <v>80.55</v>
      </c>
      <c r="T240">
        <v>85.43</v>
      </c>
      <c r="U240">
        <v>557.74</v>
      </c>
      <c r="V240">
        <v>980.3</v>
      </c>
      <c r="W240">
        <v>2720.89</v>
      </c>
      <c r="X240">
        <v>972.29</v>
      </c>
      <c r="Y240">
        <v>112486.01</v>
      </c>
      <c r="Z240">
        <v>12.678000000000001</v>
      </c>
      <c r="AA240">
        <v>12.5922</v>
      </c>
      <c r="AB240">
        <v>12.6088</v>
      </c>
      <c r="AC240">
        <v>12.7827</v>
      </c>
      <c r="AD240">
        <v>13.092700000000001</v>
      </c>
      <c r="AE240">
        <v>13.938000000000001</v>
      </c>
      <c r="AF240">
        <v>13.65</v>
      </c>
      <c r="AG240">
        <v>1.0406</v>
      </c>
      <c r="AH240">
        <v>138.07</v>
      </c>
      <c r="AI240">
        <v>1.2058</v>
      </c>
      <c r="AJ240">
        <v>1.3411999999999999</v>
      </c>
      <c r="AK240">
        <v>10.4976</v>
      </c>
      <c r="AL240">
        <v>0.94569999999999999</v>
      </c>
      <c r="AM240">
        <v>186.63</v>
      </c>
      <c r="AN240">
        <v>101.38</v>
      </c>
      <c r="AO240">
        <v>99.8</v>
      </c>
      <c r="AP240">
        <v>100.67</v>
      </c>
      <c r="AQ240">
        <v>99.05</v>
      </c>
    </row>
    <row r="241" spans="1:43" x14ac:dyDescent="0.25">
      <c r="A241" s="1">
        <v>44925</v>
      </c>
      <c r="B241">
        <v>4.3429000000000002</v>
      </c>
      <c r="C241">
        <v>3.41</v>
      </c>
      <c r="D241">
        <v>1.5580000000000001</v>
      </c>
      <c r="E241">
        <v>-0.16900000000000001</v>
      </c>
      <c r="F241">
        <v>4.4257999999999997</v>
      </c>
      <c r="G241">
        <v>3.5343</v>
      </c>
      <c r="H241">
        <v>2.738</v>
      </c>
      <c r="I241">
        <v>3.2000000000000001E-2</v>
      </c>
      <c r="J241">
        <v>3.8748</v>
      </c>
      <c r="K241">
        <v>3.6646999999999998</v>
      </c>
      <c r="L241">
        <v>2.5649999999999999</v>
      </c>
      <c r="M241">
        <v>0.41299999999999998</v>
      </c>
      <c r="N241">
        <v>21.67</v>
      </c>
      <c r="O241">
        <v>254.42</v>
      </c>
      <c r="P241">
        <v>103.52200000000001</v>
      </c>
      <c r="Q241">
        <v>129.74340000000001</v>
      </c>
      <c r="R241">
        <v>5.2804000000000002</v>
      </c>
      <c r="S241">
        <v>80.260000000000005</v>
      </c>
      <c r="T241">
        <v>85.91</v>
      </c>
      <c r="U241">
        <v>533.35</v>
      </c>
      <c r="V241">
        <v>1011.58</v>
      </c>
      <c r="W241">
        <v>2602.69</v>
      </c>
      <c r="X241">
        <v>956.38</v>
      </c>
      <c r="Y241">
        <v>109734.6</v>
      </c>
      <c r="Z241">
        <v>12.663600000000001</v>
      </c>
      <c r="AA241">
        <v>12.6182</v>
      </c>
      <c r="AB241">
        <v>12.610799999999999</v>
      </c>
      <c r="AC241">
        <v>12.5824</v>
      </c>
      <c r="AD241">
        <v>12.664099999999999</v>
      </c>
      <c r="AE241">
        <v>13.4101</v>
      </c>
      <c r="AF241">
        <v>13.65</v>
      </c>
      <c r="AG241">
        <v>1.0705</v>
      </c>
      <c r="AH241">
        <v>131.12</v>
      </c>
      <c r="AI241">
        <v>1.2082999999999999</v>
      </c>
      <c r="AJ241">
        <v>1.3553999999999999</v>
      </c>
      <c r="AK241">
        <v>10.4283</v>
      </c>
      <c r="AL241">
        <v>0.92449999999999999</v>
      </c>
      <c r="AM241">
        <v>186.63</v>
      </c>
      <c r="AN241">
        <v>91.95</v>
      </c>
      <c r="AO241">
        <v>99.95</v>
      </c>
      <c r="AP241">
        <v>100.41</v>
      </c>
      <c r="AQ241">
        <v>99.99</v>
      </c>
    </row>
    <row r="242" spans="1:43" x14ac:dyDescent="0.25">
      <c r="A242" s="1">
        <v>44957</v>
      </c>
      <c r="B242">
        <v>4.6414999999999997</v>
      </c>
      <c r="C242">
        <v>3.82</v>
      </c>
      <c r="D242">
        <v>2.137</v>
      </c>
      <c r="E242">
        <v>-0.17199999999999999</v>
      </c>
      <c r="F242">
        <v>4.2011000000000003</v>
      </c>
      <c r="G242">
        <v>3.4329999999999998</v>
      </c>
      <c r="H242">
        <v>2.6440000000000001</v>
      </c>
      <c r="I242">
        <v>-2.7E-2</v>
      </c>
      <c r="J242">
        <v>3.5068999999999999</v>
      </c>
      <c r="K242">
        <v>3.3296000000000001</v>
      </c>
      <c r="L242">
        <v>2.2829999999999999</v>
      </c>
      <c r="M242">
        <v>0.48799999999999999</v>
      </c>
      <c r="N242">
        <v>19.399999999999999</v>
      </c>
      <c r="O242">
        <v>231.23699999999999</v>
      </c>
      <c r="P242">
        <v>102.09699999999999</v>
      </c>
      <c r="Q242">
        <v>126.64449999999999</v>
      </c>
      <c r="R242">
        <v>5.0757000000000003</v>
      </c>
      <c r="S242">
        <v>78.87</v>
      </c>
      <c r="T242">
        <v>84.49</v>
      </c>
      <c r="U242">
        <v>521.95000000000005</v>
      </c>
      <c r="V242">
        <v>1120.19</v>
      </c>
      <c r="W242">
        <v>2785</v>
      </c>
      <c r="X242">
        <v>1031.5</v>
      </c>
      <c r="Y242">
        <v>113430.54</v>
      </c>
      <c r="Z242">
        <v>13.001200000000001</v>
      </c>
      <c r="AA242">
        <v>12.8474</v>
      </c>
      <c r="AB242">
        <v>13.054399999999999</v>
      </c>
      <c r="AC242">
        <v>12.7301</v>
      </c>
      <c r="AD242">
        <v>12.7796</v>
      </c>
      <c r="AE242">
        <v>13.4556</v>
      </c>
      <c r="AF242">
        <v>13.65</v>
      </c>
      <c r="AG242">
        <v>1.0863</v>
      </c>
      <c r="AH242">
        <v>130.09</v>
      </c>
      <c r="AI242">
        <v>1.232</v>
      </c>
      <c r="AJ242">
        <v>1.3306</v>
      </c>
      <c r="AK242">
        <v>10.4641</v>
      </c>
      <c r="AL242">
        <v>0.91620000000000001</v>
      </c>
      <c r="AM242">
        <v>186.63</v>
      </c>
      <c r="AN242">
        <v>90.4</v>
      </c>
      <c r="AO242">
        <v>99.72</v>
      </c>
      <c r="AP242">
        <v>100.17</v>
      </c>
      <c r="AQ242">
        <v>95.24</v>
      </c>
    </row>
    <row r="243" spans="1:43" x14ac:dyDescent="0.25">
      <c r="A243" s="1">
        <v>44985</v>
      </c>
      <c r="B243">
        <v>4.7686999999999999</v>
      </c>
      <c r="C243">
        <v>3.9769999999999999</v>
      </c>
      <c r="D243">
        <v>2.64</v>
      </c>
      <c r="E243">
        <v>-0.17699999999999999</v>
      </c>
      <c r="F243">
        <v>4.8158000000000003</v>
      </c>
      <c r="G243">
        <v>3.6772</v>
      </c>
      <c r="H243">
        <v>3.1280000000000001</v>
      </c>
      <c r="I243">
        <v>-4.2000000000000003E-2</v>
      </c>
      <c r="J243">
        <v>3.92</v>
      </c>
      <c r="K243">
        <v>3.8239000000000001</v>
      </c>
      <c r="L243">
        <v>2.6480000000000001</v>
      </c>
      <c r="M243">
        <v>0.5</v>
      </c>
      <c r="N243">
        <v>20.7</v>
      </c>
      <c r="O243">
        <v>232.06899999999999</v>
      </c>
      <c r="P243">
        <v>104.869</v>
      </c>
      <c r="Q243">
        <v>126.758</v>
      </c>
      <c r="R243">
        <v>5.2363999999999997</v>
      </c>
      <c r="S243">
        <v>77.05</v>
      </c>
      <c r="T243">
        <v>83.89</v>
      </c>
      <c r="U243">
        <v>527.16</v>
      </c>
      <c r="V243">
        <v>1067.57</v>
      </c>
      <c r="W243">
        <v>2714.57</v>
      </c>
      <c r="X243">
        <v>964.01</v>
      </c>
      <c r="Y243">
        <v>104931.93</v>
      </c>
      <c r="Z243">
        <v>13.171900000000001</v>
      </c>
      <c r="AA243">
        <v>13.098599999999999</v>
      </c>
      <c r="AB243">
        <v>13.419700000000001</v>
      </c>
      <c r="AC243">
        <v>12.774900000000001</v>
      </c>
      <c r="AD243">
        <v>12.668100000000001</v>
      </c>
      <c r="AE243">
        <v>13.257199999999999</v>
      </c>
      <c r="AF243">
        <v>13.65</v>
      </c>
      <c r="AG243">
        <v>1.0576000000000001</v>
      </c>
      <c r="AH243">
        <v>136.16999999999999</v>
      </c>
      <c r="AI243">
        <v>1.2021999999999999</v>
      </c>
      <c r="AJ243">
        <v>1.3647</v>
      </c>
      <c r="AK243">
        <v>10.4681</v>
      </c>
      <c r="AL243">
        <v>0.94220000000000004</v>
      </c>
      <c r="AM243">
        <v>186.63</v>
      </c>
      <c r="AN243">
        <v>87.43</v>
      </c>
      <c r="AO243">
        <v>99.55</v>
      </c>
      <c r="AP243">
        <v>103.23</v>
      </c>
      <c r="AQ243">
        <v>98.63</v>
      </c>
    </row>
    <row r="244" spans="1:43" x14ac:dyDescent="0.25">
      <c r="A244" s="1">
        <v>45016</v>
      </c>
      <c r="B244">
        <v>4.6929999999999996</v>
      </c>
      <c r="C244">
        <v>4.1989999999999998</v>
      </c>
      <c r="D244">
        <v>2.6709999999999998</v>
      </c>
      <c r="E244">
        <v>-0.218</v>
      </c>
      <c r="F244">
        <v>4.0252999999999997</v>
      </c>
      <c r="G244">
        <v>3.4276</v>
      </c>
      <c r="H244">
        <v>2.673</v>
      </c>
      <c r="I244">
        <v>-6.0999999999999999E-2</v>
      </c>
      <c r="J244">
        <v>3.4676</v>
      </c>
      <c r="K244">
        <v>3.4864000000000002</v>
      </c>
      <c r="L244">
        <v>2.2890000000000001</v>
      </c>
      <c r="M244">
        <v>0.32800000000000001</v>
      </c>
      <c r="N244">
        <v>18.7</v>
      </c>
      <c r="O244">
        <v>228.786</v>
      </c>
      <c r="P244">
        <v>102.506</v>
      </c>
      <c r="Q244">
        <v>127.01479999999999</v>
      </c>
      <c r="R244">
        <v>5.0631000000000004</v>
      </c>
      <c r="S244">
        <v>75.67</v>
      </c>
      <c r="T244">
        <v>79.77</v>
      </c>
      <c r="U244">
        <v>533.88</v>
      </c>
      <c r="V244">
        <v>1088.08</v>
      </c>
      <c r="W244">
        <v>2791.44</v>
      </c>
      <c r="X244">
        <v>990.28</v>
      </c>
      <c r="Y244">
        <v>101882.2</v>
      </c>
      <c r="Z244">
        <v>13.171900000000001</v>
      </c>
      <c r="AA244">
        <v>12.3413</v>
      </c>
      <c r="AB244">
        <v>12.9282</v>
      </c>
      <c r="AC244">
        <v>11.976699999999999</v>
      </c>
      <c r="AD244">
        <v>11.9565</v>
      </c>
      <c r="AE244">
        <v>12.8527</v>
      </c>
      <c r="AF244">
        <v>13.65</v>
      </c>
      <c r="AG244">
        <v>1.0839000000000001</v>
      </c>
      <c r="AH244">
        <v>132.86000000000001</v>
      </c>
      <c r="AI244">
        <v>1.2337</v>
      </c>
      <c r="AJ244">
        <v>1.3515999999999999</v>
      </c>
      <c r="AK244">
        <v>10.404400000000001</v>
      </c>
      <c r="AL244">
        <v>0.9153</v>
      </c>
      <c r="AM244">
        <v>186.63</v>
      </c>
      <c r="AN244">
        <v>99.39</v>
      </c>
      <c r="AO244">
        <v>100.27</v>
      </c>
      <c r="AP244">
        <v>102.93</v>
      </c>
      <c r="AQ244">
        <v>110.77</v>
      </c>
    </row>
    <row r="245" spans="1:43" x14ac:dyDescent="0.25">
      <c r="A245" s="1">
        <v>45044</v>
      </c>
      <c r="B245">
        <v>5.0301999999999998</v>
      </c>
      <c r="C245">
        <v>4.3120000000000003</v>
      </c>
      <c r="D245">
        <v>2.7210000000000001</v>
      </c>
      <c r="E245">
        <v>-0.18099999999999999</v>
      </c>
      <c r="F245">
        <v>4.0064000000000002</v>
      </c>
      <c r="G245">
        <v>3.7679</v>
      </c>
      <c r="H245">
        <v>2.6749999999999998</v>
      </c>
      <c r="I245">
        <v>-4.2000000000000003E-2</v>
      </c>
      <c r="J245">
        <v>3.4220000000000002</v>
      </c>
      <c r="K245">
        <v>3.7153999999999998</v>
      </c>
      <c r="L245">
        <v>2.31</v>
      </c>
      <c r="M245">
        <v>0.38500000000000001</v>
      </c>
      <c r="N245">
        <v>15.78</v>
      </c>
      <c r="O245">
        <v>224.56299999999999</v>
      </c>
      <c r="P245">
        <v>101.65900000000001</v>
      </c>
      <c r="Q245">
        <v>126.1816</v>
      </c>
      <c r="R245">
        <v>4.9880000000000004</v>
      </c>
      <c r="S245">
        <v>76.78</v>
      </c>
      <c r="T245">
        <v>79.540000000000006</v>
      </c>
      <c r="U245">
        <v>528.03</v>
      </c>
      <c r="V245">
        <v>1056.98</v>
      </c>
      <c r="W245">
        <v>2835.93</v>
      </c>
      <c r="X245">
        <v>977.05</v>
      </c>
      <c r="Y245">
        <v>104431.63</v>
      </c>
      <c r="Z245">
        <v>13.171900000000001</v>
      </c>
      <c r="AA245">
        <v>12.0108</v>
      </c>
      <c r="AB245">
        <v>12.445499999999999</v>
      </c>
      <c r="AC245">
        <v>11.7873</v>
      </c>
      <c r="AD245">
        <v>11.923400000000001</v>
      </c>
      <c r="AE245">
        <v>12.8256</v>
      </c>
      <c r="AF245">
        <v>13.65</v>
      </c>
      <c r="AG245">
        <v>1.1019000000000001</v>
      </c>
      <c r="AH245">
        <v>136.30000000000001</v>
      </c>
      <c r="AI245">
        <v>1.2566999999999999</v>
      </c>
      <c r="AJ245">
        <v>1.3552</v>
      </c>
      <c r="AK245">
        <v>10.264799999999999</v>
      </c>
      <c r="AL245">
        <v>0.89459999999999995</v>
      </c>
      <c r="AM245">
        <v>186.63</v>
      </c>
      <c r="AN245">
        <v>92.04</v>
      </c>
      <c r="AO245">
        <v>99.89</v>
      </c>
      <c r="AP245">
        <v>104.37</v>
      </c>
      <c r="AQ245">
        <v>103.94</v>
      </c>
    </row>
    <row r="246" spans="1:43" x14ac:dyDescent="0.25">
      <c r="A246" s="1">
        <v>45077</v>
      </c>
      <c r="B246">
        <v>5.3883999999999999</v>
      </c>
      <c r="C246">
        <v>4.7279999999999998</v>
      </c>
      <c r="D246">
        <v>2.887</v>
      </c>
      <c r="E246">
        <v>-0.18099999999999999</v>
      </c>
      <c r="F246">
        <v>4.4027000000000003</v>
      </c>
      <c r="G246">
        <v>4.3217999999999996</v>
      </c>
      <c r="H246">
        <v>2.7069999999999999</v>
      </c>
      <c r="I246">
        <v>-5.6000000000000001E-2</v>
      </c>
      <c r="J246">
        <v>3.6425999999999998</v>
      </c>
      <c r="K246">
        <v>4.1787000000000001</v>
      </c>
      <c r="L246">
        <v>2.2799999999999998</v>
      </c>
      <c r="M246">
        <v>0.43</v>
      </c>
      <c r="N246">
        <v>17.940000000000001</v>
      </c>
      <c r="O246">
        <v>212.33199999999999</v>
      </c>
      <c r="P246">
        <v>104.32599999999999</v>
      </c>
      <c r="Q246">
        <v>126.0915</v>
      </c>
      <c r="R246">
        <v>5.0556000000000001</v>
      </c>
      <c r="S246">
        <v>68.09</v>
      </c>
      <c r="T246">
        <v>72.66</v>
      </c>
      <c r="U246">
        <v>532.58000000000004</v>
      </c>
      <c r="V246">
        <v>987</v>
      </c>
      <c r="W246">
        <v>2800.56</v>
      </c>
      <c r="X246">
        <v>958.53</v>
      </c>
      <c r="Y246">
        <v>108335.07</v>
      </c>
      <c r="Z246">
        <v>13.171900000000001</v>
      </c>
      <c r="AA246">
        <v>11.144299999999999</v>
      </c>
      <c r="AB246">
        <v>11.6248</v>
      </c>
      <c r="AC246">
        <v>10.872999999999999</v>
      </c>
      <c r="AD246">
        <v>11.1319</v>
      </c>
      <c r="AE246">
        <v>12.412100000000001</v>
      </c>
      <c r="AF246">
        <v>13.65</v>
      </c>
      <c r="AG246">
        <v>1.0689</v>
      </c>
      <c r="AH246">
        <v>139.34</v>
      </c>
      <c r="AI246">
        <v>1.2441</v>
      </c>
      <c r="AJ246">
        <v>1.3573999999999999</v>
      </c>
      <c r="AK246">
        <v>10.8567</v>
      </c>
      <c r="AL246">
        <v>0.91069999999999995</v>
      </c>
      <c r="AM246">
        <v>186.63</v>
      </c>
      <c r="AN246">
        <v>104.74</v>
      </c>
      <c r="AO246">
        <v>100.6</v>
      </c>
      <c r="AP246">
        <v>102.52</v>
      </c>
      <c r="AQ246">
        <v>102.77</v>
      </c>
    </row>
    <row r="247" spans="1:43" x14ac:dyDescent="0.25">
      <c r="A247" s="1">
        <v>45107</v>
      </c>
      <c r="B247">
        <v>5.2835999999999999</v>
      </c>
      <c r="C247">
        <v>5.2</v>
      </c>
      <c r="D247">
        <v>3.335</v>
      </c>
      <c r="E247">
        <v>-0.105</v>
      </c>
      <c r="F247">
        <v>4.8954000000000004</v>
      </c>
      <c r="G247">
        <v>5.2534000000000001</v>
      </c>
      <c r="H247">
        <v>3.1880000000000002</v>
      </c>
      <c r="I247">
        <v>-7.2999999999999995E-2</v>
      </c>
      <c r="J247">
        <v>3.8367</v>
      </c>
      <c r="K247">
        <v>4.383</v>
      </c>
      <c r="L247">
        <v>2.39</v>
      </c>
      <c r="M247">
        <v>0.39400000000000002</v>
      </c>
      <c r="N247">
        <v>13.59</v>
      </c>
      <c r="O247">
        <v>176.68899999999999</v>
      </c>
      <c r="P247">
        <v>102.91200000000001</v>
      </c>
      <c r="Q247">
        <v>125.5637</v>
      </c>
      <c r="R247">
        <v>4.7854000000000001</v>
      </c>
      <c r="S247">
        <v>70.64</v>
      </c>
      <c r="T247">
        <v>74.900000000000006</v>
      </c>
      <c r="U247">
        <v>543.66</v>
      </c>
      <c r="V247">
        <v>992.69</v>
      </c>
      <c r="W247">
        <v>2966.72</v>
      </c>
      <c r="X247">
        <v>989.48</v>
      </c>
      <c r="Y247">
        <v>118087</v>
      </c>
      <c r="Z247">
        <v>13.171900000000001</v>
      </c>
      <c r="AA247">
        <v>10.3935</v>
      </c>
      <c r="AB247">
        <v>10.7316</v>
      </c>
      <c r="AC247">
        <v>10.1045</v>
      </c>
      <c r="AD247">
        <v>10.339600000000001</v>
      </c>
      <c r="AE247">
        <v>11.6556</v>
      </c>
      <c r="AF247">
        <v>13.65</v>
      </c>
      <c r="AG247">
        <v>1.0909</v>
      </c>
      <c r="AH247">
        <v>144.31</v>
      </c>
      <c r="AI247">
        <v>1.2703</v>
      </c>
      <c r="AJ247">
        <v>1.3242</v>
      </c>
      <c r="AK247">
        <v>10.797700000000001</v>
      </c>
      <c r="AL247">
        <v>0.89559999999999995</v>
      </c>
      <c r="AM247">
        <v>186.63</v>
      </c>
      <c r="AN247">
        <v>101.89</v>
      </c>
      <c r="AO247">
        <v>100.13</v>
      </c>
      <c r="AP247">
        <v>102.38</v>
      </c>
      <c r="AQ247">
        <v>102.23</v>
      </c>
    </row>
    <row r="248" spans="1:43" x14ac:dyDescent="0.25">
      <c r="A248" s="1">
        <v>45138</v>
      </c>
      <c r="B248">
        <v>5.4001000000000001</v>
      </c>
      <c r="C248">
        <v>5.3730000000000002</v>
      </c>
      <c r="D248">
        <v>3.504</v>
      </c>
      <c r="E248">
        <v>-8.5000000000000006E-2</v>
      </c>
      <c r="F248">
        <v>4.8765999999999998</v>
      </c>
      <c r="G248">
        <v>4.9694000000000003</v>
      </c>
      <c r="H248">
        <v>3.0310000000000001</v>
      </c>
      <c r="I248">
        <v>-3.0000000000000001E-3</v>
      </c>
      <c r="J248">
        <v>3.9588000000000001</v>
      </c>
      <c r="K248">
        <v>4.3052999999999999</v>
      </c>
      <c r="L248">
        <v>2.4889999999999999</v>
      </c>
      <c r="M248">
        <v>0.59899999999999998</v>
      </c>
      <c r="N248">
        <v>13.63</v>
      </c>
      <c r="O248">
        <v>164.702</v>
      </c>
      <c r="P248">
        <v>101.855</v>
      </c>
      <c r="Q248">
        <v>124.8058</v>
      </c>
      <c r="R248">
        <v>4.7259000000000002</v>
      </c>
      <c r="S248">
        <v>81.8</v>
      </c>
      <c r="T248">
        <v>85.56</v>
      </c>
      <c r="U248">
        <v>567.30999999999995</v>
      </c>
      <c r="V248">
        <v>1021.05</v>
      </c>
      <c r="W248">
        <v>3064.3</v>
      </c>
      <c r="X248">
        <v>1046.9100000000001</v>
      </c>
      <c r="Y248">
        <v>121942.98</v>
      </c>
      <c r="Z248">
        <v>13.171900000000001</v>
      </c>
      <c r="AA248">
        <v>10.4757</v>
      </c>
      <c r="AB248">
        <v>10.9001</v>
      </c>
      <c r="AC248">
        <v>10.097899999999999</v>
      </c>
      <c r="AD248">
        <v>10.218</v>
      </c>
      <c r="AE248">
        <v>11.2202</v>
      </c>
      <c r="AF248">
        <v>13.65</v>
      </c>
      <c r="AG248">
        <v>1.0996999999999999</v>
      </c>
      <c r="AH248">
        <v>142.29</v>
      </c>
      <c r="AI248">
        <v>1.2835000000000001</v>
      </c>
      <c r="AJ248">
        <v>1.319</v>
      </c>
      <c r="AK248">
        <v>10.5258</v>
      </c>
      <c r="AL248">
        <v>0.87190000000000001</v>
      </c>
      <c r="AM248">
        <v>186.63</v>
      </c>
      <c r="AN248">
        <v>105.51</v>
      </c>
      <c r="AO248">
        <v>99.45</v>
      </c>
      <c r="AP248">
        <v>102.84</v>
      </c>
      <c r="AQ248">
        <v>105.37</v>
      </c>
    </row>
    <row r="249" spans="1:43" x14ac:dyDescent="0.25">
      <c r="A249" s="1">
        <v>45169</v>
      </c>
      <c r="B249">
        <v>5.4353999999999996</v>
      </c>
      <c r="C249">
        <v>5.4569999999999999</v>
      </c>
      <c r="D249">
        <v>3.5569999999999999</v>
      </c>
      <c r="E249">
        <v>-0.27900000000000003</v>
      </c>
      <c r="F249">
        <v>4.8628999999999998</v>
      </c>
      <c r="G249">
        <v>5.1352000000000002</v>
      </c>
      <c r="H249">
        <v>2.9670000000000001</v>
      </c>
      <c r="I249">
        <v>2.7E-2</v>
      </c>
      <c r="J249">
        <v>4.1081000000000003</v>
      </c>
      <c r="K249">
        <v>4.3570000000000002</v>
      </c>
      <c r="L249">
        <v>2.4620000000000002</v>
      </c>
      <c r="M249">
        <v>0.64500000000000002</v>
      </c>
      <c r="N249">
        <v>13.57</v>
      </c>
      <c r="O249">
        <v>167.93799999999999</v>
      </c>
      <c r="P249">
        <v>103.619</v>
      </c>
      <c r="Q249">
        <v>126.3969</v>
      </c>
      <c r="R249">
        <v>4.9550000000000001</v>
      </c>
      <c r="S249">
        <v>83.63</v>
      </c>
      <c r="T249">
        <v>86.86</v>
      </c>
      <c r="U249">
        <v>546.91999999999996</v>
      </c>
      <c r="V249">
        <v>991.06</v>
      </c>
      <c r="W249">
        <v>2986.02</v>
      </c>
      <c r="X249">
        <v>980.33</v>
      </c>
      <c r="Y249">
        <v>115741.81</v>
      </c>
      <c r="Z249">
        <v>13.171900000000001</v>
      </c>
      <c r="AA249">
        <v>10.776</v>
      </c>
      <c r="AB249">
        <v>11.2394</v>
      </c>
      <c r="AC249">
        <v>10.292</v>
      </c>
      <c r="AD249">
        <v>10.2166</v>
      </c>
      <c r="AE249">
        <v>10.9389</v>
      </c>
      <c r="AF249">
        <v>13.15</v>
      </c>
      <c r="AG249">
        <v>1.0843</v>
      </c>
      <c r="AH249">
        <v>145.54</v>
      </c>
      <c r="AI249">
        <v>1.2673000000000001</v>
      </c>
      <c r="AJ249">
        <v>1.3508</v>
      </c>
      <c r="AK249">
        <v>10.9534</v>
      </c>
      <c r="AL249">
        <v>0.88339999999999996</v>
      </c>
      <c r="AM249">
        <v>186.63</v>
      </c>
      <c r="AN249">
        <v>111.27</v>
      </c>
      <c r="AO249">
        <v>100.04</v>
      </c>
      <c r="AP249">
        <v>102.44</v>
      </c>
      <c r="AQ249">
        <v>106.06</v>
      </c>
    </row>
    <row r="250" spans="1:43" x14ac:dyDescent="0.25">
      <c r="A250" s="1">
        <v>45198</v>
      </c>
      <c r="B250">
        <v>5.4459</v>
      </c>
      <c r="C250">
        <v>5.3440000000000003</v>
      </c>
      <c r="D250">
        <v>3.6160000000000001</v>
      </c>
      <c r="E250">
        <v>-0.17399999999999999</v>
      </c>
      <c r="F250">
        <v>5.0435999999999996</v>
      </c>
      <c r="G250">
        <v>4.8865999999999996</v>
      </c>
      <c r="H250">
        <v>3.198</v>
      </c>
      <c r="I250">
        <v>4.3999999999999997E-2</v>
      </c>
      <c r="J250">
        <v>4.5711000000000004</v>
      </c>
      <c r="K250">
        <v>4.4359000000000002</v>
      </c>
      <c r="L250">
        <v>2.8380000000000001</v>
      </c>
      <c r="M250">
        <v>0.75900000000000001</v>
      </c>
      <c r="N250">
        <v>17.52</v>
      </c>
      <c r="O250">
        <v>187.898</v>
      </c>
      <c r="P250">
        <v>106.17400000000001</v>
      </c>
      <c r="Q250">
        <v>127.98090000000001</v>
      </c>
      <c r="R250">
        <v>5.0340999999999996</v>
      </c>
      <c r="S250">
        <v>90.79</v>
      </c>
      <c r="T250">
        <v>95.31</v>
      </c>
      <c r="U250">
        <v>538.87</v>
      </c>
      <c r="V250">
        <v>990.02</v>
      </c>
      <c r="W250">
        <v>2853.24</v>
      </c>
      <c r="X250">
        <v>952.78</v>
      </c>
      <c r="Y250">
        <v>116565.17</v>
      </c>
      <c r="Z250">
        <v>13.171900000000001</v>
      </c>
      <c r="AA250">
        <v>11.2677</v>
      </c>
      <c r="AB250">
        <v>11.734999999999999</v>
      </c>
      <c r="AC250">
        <v>10.762</v>
      </c>
      <c r="AD250">
        <v>10.612</v>
      </c>
      <c r="AE250">
        <v>11.03</v>
      </c>
      <c r="AF250">
        <v>12.65</v>
      </c>
      <c r="AG250">
        <v>1.0572999999999999</v>
      </c>
      <c r="AH250">
        <v>149.37</v>
      </c>
      <c r="AI250">
        <v>1.2199</v>
      </c>
      <c r="AJ250">
        <v>1.3576999999999999</v>
      </c>
      <c r="AK250">
        <v>10.911799999999999</v>
      </c>
      <c r="AL250">
        <v>0.9153</v>
      </c>
      <c r="AM250">
        <v>186.63</v>
      </c>
      <c r="AN250">
        <v>106.28</v>
      </c>
      <c r="AO250">
        <v>99.62</v>
      </c>
      <c r="AP250">
        <v>102.49</v>
      </c>
      <c r="AQ250">
        <v>101.76</v>
      </c>
    </row>
    <row r="251" spans="1:43" x14ac:dyDescent="0.25">
      <c r="A251" s="1">
        <v>45230</v>
      </c>
      <c r="B251">
        <v>5.4622999999999999</v>
      </c>
      <c r="C251">
        <v>5.2789999999999999</v>
      </c>
      <c r="D251">
        <v>3.698</v>
      </c>
      <c r="E251">
        <v>-0.15</v>
      </c>
      <c r="F251">
        <v>5.0872999999999999</v>
      </c>
      <c r="G251">
        <v>4.7657999999999996</v>
      </c>
      <c r="H251">
        <v>3.0110000000000001</v>
      </c>
      <c r="I251">
        <v>0.14099999999999999</v>
      </c>
      <c r="J251">
        <v>4.9306999999999999</v>
      </c>
      <c r="K251">
        <v>4.5094000000000003</v>
      </c>
      <c r="L251">
        <v>2.8039999999999998</v>
      </c>
      <c r="M251">
        <v>0.94099999999999995</v>
      </c>
      <c r="N251">
        <v>18.14</v>
      </c>
      <c r="O251">
        <v>183.13399999999999</v>
      </c>
      <c r="P251">
        <v>106.663</v>
      </c>
      <c r="Q251">
        <v>130.4229</v>
      </c>
      <c r="R251">
        <v>5.0381</v>
      </c>
      <c r="S251">
        <v>81.02</v>
      </c>
      <c r="T251">
        <v>87.41</v>
      </c>
      <c r="U251">
        <v>539.59</v>
      </c>
      <c r="V251">
        <v>972.3</v>
      </c>
      <c r="W251">
        <v>2768.62</v>
      </c>
      <c r="X251">
        <v>915.2</v>
      </c>
      <c r="Y251">
        <v>113143.67</v>
      </c>
      <c r="Z251">
        <v>13.171900000000001</v>
      </c>
      <c r="AA251">
        <v>11.576499999999999</v>
      </c>
      <c r="AB251">
        <v>11.8475</v>
      </c>
      <c r="AC251">
        <v>11.222099999999999</v>
      </c>
      <c r="AD251">
        <v>11.0563</v>
      </c>
      <c r="AE251">
        <v>11.1464</v>
      </c>
      <c r="AF251">
        <v>12.65</v>
      </c>
      <c r="AG251">
        <v>1.0575000000000001</v>
      </c>
      <c r="AH251">
        <v>151.68</v>
      </c>
      <c r="AI251">
        <v>1.2153</v>
      </c>
      <c r="AJ251">
        <v>1.3875</v>
      </c>
      <c r="AK251">
        <v>11.1783</v>
      </c>
      <c r="AL251">
        <v>0.91039999999999999</v>
      </c>
      <c r="AM251">
        <v>186.63</v>
      </c>
      <c r="AN251">
        <v>107.01</v>
      </c>
      <c r="AO251">
        <v>100.08</v>
      </c>
      <c r="AP251">
        <v>102.8</v>
      </c>
      <c r="AQ251">
        <v>101.96</v>
      </c>
    </row>
    <row r="252" spans="1:43" x14ac:dyDescent="0.25">
      <c r="A252" s="1">
        <v>45260</v>
      </c>
      <c r="B252">
        <v>5.3875999999999999</v>
      </c>
      <c r="C252">
        <v>5.27</v>
      </c>
      <c r="D252">
        <v>3.6560000000000001</v>
      </c>
      <c r="E252">
        <v>-0.14799999999999999</v>
      </c>
      <c r="F252">
        <v>4.6802000000000001</v>
      </c>
      <c r="G252">
        <v>4.5894000000000004</v>
      </c>
      <c r="H252">
        <v>2.8119999999999998</v>
      </c>
      <c r="I252">
        <v>2.5000000000000001E-2</v>
      </c>
      <c r="J252">
        <v>4.3263999999999996</v>
      </c>
      <c r="K252">
        <v>4.1723999999999997</v>
      </c>
      <c r="L252">
        <v>2.4449999999999998</v>
      </c>
      <c r="M252">
        <v>0.66600000000000004</v>
      </c>
      <c r="N252">
        <v>12.92</v>
      </c>
      <c r="O252">
        <v>146.61699999999999</v>
      </c>
      <c r="P252">
        <v>103.497</v>
      </c>
      <c r="Q252">
        <v>127.44889999999999</v>
      </c>
      <c r="R252">
        <v>4.9195000000000002</v>
      </c>
      <c r="S252">
        <v>75.959999999999994</v>
      </c>
      <c r="T252">
        <v>82.83</v>
      </c>
      <c r="U252">
        <v>517.75</v>
      </c>
      <c r="V252">
        <v>979.84</v>
      </c>
      <c r="W252">
        <v>3023.63</v>
      </c>
      <c r="X252">
        <v>987.1</v>
      </c>
      <c r="Y252">
        <v>127331.12</v>
      </c>
      <c r="Z252">
        <v>13.171900000000001</v>
      </c>
      <c r="AA252">
        <v>10.484299999999999</v>
      </c>
      <c r="AB252">
        <v>10.849500000000001</v>
      </c>
      <c r="AC252">
        <v>10.0587</v>
      </c>
      <c r="AD252">
        <v>9.9867000000000008</v>
      </c>
      <c r="AE252">
        <v>10.396000000000001</v>
      </c>
      <c r="AF252">
        <v>12.15</v>
      </c>
      <c r="AG252">
        <v>1.0888</v>
      </c>
      <c r="AH252">
        <v>148.19999999999999</v>
      </c>
      <c r="AI252">
        <v>1.2624</v>
      </c>
      <c r="AJ252">
        <v>1.3561000000000001</v>
      </c>
      <c r="AK252">
        <v>10.499700000000001</v>
      </c>
      <c r="AL252">
        <v>0.87519999999999998</v>
      </c>
      <c r="AM252">
        <v>186.63</v>
      </c>
      <c r="AN252">
        <v>102.82</v>
      </c>
      <c r="AO252">
        <v>101.27</v>
      </c>
      <c r="AP252">
        <v>103.63</v>
      </c>
      <c r="AQ252">
        <v>101.67</v>
      </c>
    </row>
    <row r="253" spans="1:43" x14ac:dyDescent="0.25">
      <c r="A253" s="1">
        <v>45289</v>
      </c>
      <c r="B253">
        <v>5.3323</v>
      </c>
      <c r="C253">
        <v>5.2439999999999998</v>
      </c>
      <c r="D253">
        <v>3.548</v>
      </c>
      <c r="E253">
        <v>-5.8999999999999997E-2</v>
      </c>
      <c r="F253">
        <v>4.2499000000000002</v>
      </c>
      <c r="G253">
        <v>3.9546999999999999</v>
      </c>
      <c r="H253">
        <v>2.3919999999999999</v>
      </c>
      <c r="I253">
        <v>4.3999999999999997E-2</v>
      </c>
      <c r="J253">
        <v>3.8791000000000002</v>
      </c>
      <c r="K253">
        <v>3.5297999999999998</v>
      </c>
      <c r="L253">
        <v>2.0209999999999999</v>
      </c>
      <c r="M253">
        <v>0.60799999999999998</v>
      </c>
      <c r="N253">
        <v>12.45</v>
      </c>
      <c r="O253">
        <v>132.53100000000001</v>
      </c>
      <c r="P253">
        <v>101.333</v>
      </c>
      <c r="Q253">
        <v>126.84480000000001</v>
      </c>
      <c r="R253">
        <v>4.8571999999999997</v>
      </c>
      <c r="S253">
        <v>71.650000000000006</v>
      </c>
      <c r="T253">
        <v>77.040000000000006</v>
      </c>
      <c r="U253">
        <v>465.48</v>
      </c>
      <c r="V253">
        <v>1032.23</v>
      </c>
      <c r="W253">
        <v>3169.18</v>
      </c>
      <c r="X253">
        <v>1023.74</v>
      </c>
      <c r="Y253">
        <v>134185.24</v>
      </c>
      <c r="Z253">
        <v>13.171900000000001</v>
      </c>
      <c r="AA253">
        <v>10.0747</v>
      </c>
      <c r="AB253">
        <v>10.366</v>
      </c>
      <c r="AC253">
        <v>9.7050000000000001</v>
      </c>
      <c r="AD253">
        <v>9.5914999999999999</v>
      </c>
      <c r="AE253">
        <v>10.039400000000001</v>
      </c>
      <c r="AF253">
        <v>11.65</v>
      </c>
      <c r="AG253">
        <v>1.1039000000000001</v>
      </c>
      <c r="AH253">
        <v>141.04</v>
      </c>
      <c r="AI253">
        <v>1.2730999999999999</v>
      </c>
      <c r="AJ253">
        <v>1.3243</v>
      </c>
      <c r="AK253">
        <v>10.073399999999999</v>
      </c>
      <c r="AL253">
        <v>0.84140000000000004</v>
      </c>
      <c r="AM253">
        <v>186.63</v>
      </c>
      <c r="AN253">
        <v>92.73</v>
      </c>
      <c r="AO253">
        <v>103.12</v>
      </c>
      <c r="AP253">
        <v>104.67</v>
      </c>
      <c r="AQ253">
        <v>101.71</v>
      </c>
    </row>
    <row r="254" spans="1:43" x14ac:dyDescent="0.25">
      <c r="A254" s="1">
        <v>45322</v>
      </c>
      <c r="B254">
        <v>5.3597000000000001</v>
      </c>
      <c r="C254">
        <v>5.2210000000000001</v>
      </c>
      <c r="D254">
        <v>3.6890000000000001</v>
      </c>
      <c r="E254">
        <v>-0.16800000000000001</v>
      </c>
      <c r="F254">
        <v>4.2066999999999997</v>
      </c>
      <c r="G254">
        <v>4.2392000000000003</v>
      </c>
      <c r="H254">
        <v>2.415</v>
      </c>
      <c r="I254">
        <v>7.5999999999999998E-2</v>
      </c>
      <c r="J254">
        <v>3.9123999999999999</v>
      </c>
      <c r="K254">
        <v>3.7917999999999998</v>
      </c>
      <c r="L254">
        <v>2.165</v>
      </c>
      <c r="M254">
        <v>0.72599999999999998</v>
      </c>
      <c r="N254">
        <v>14.35</v>
      </c>
      <c r="O254">
        <v>138.804</v>
      </c>
      <c r="P254">
        <v>103.274</v>
      </c>
      <c r="Q254">
        <v>127.46720000000001</v>
      </c>
      <c r="R254">
        <v>4.9554</v>
      </c>
      <c r="S254">
        <v>75.849999999999994</v>
      </c>
      <c r="T254">
        <v>81.709999999999994</v>
      </c>
      <c r="U254">
        <v>491.43</v>
      </c>
      <c r="V254">
        <v>1031.04</v>
      </c>
      <c r="W254">
        <v>3205.32</v>
      </c>
      <c r="X254">
        <v>975.8</v>
      </c>
      <c r="Y254">
        <v>127752.28</v>
      </c>
      <c r="Z254">
        <v>13.171900000000001</v>
      </c>
      <c r="AA254">
        <v>10.246700000000001</v>
      </c>
      <c r="AB254">
        <v>10.5959</v>
      </c>
      <c r="AC254">
        <v>9.8117000000000001</v>
      </c>
      <c r="AD254">
        <v>9.6519999999999992</v>
      </c>
      <c r="AE254">
        <v>9.9022000000000006</v>
      </c>
      <c r="AF254">
        <v>11.65</v>
      </c>
      <c r="AG254">
        <v>1.0818000000000001</v>
      </c>
      <c r="AH254">
        <v>146.91999999999999</v>
      </c>
      <c r="AI254">
        <v>1.2687999999999999</v>
      </c>
      <c r="AJ254">
        <v>1.3434999999999999</v>
      </c>
      <c r="AK254">
        <v>10.391299999999999</v>
      </c>
      <c r="AL254">
        <v>0.86140000000000005</v>
      </c>
      <c r="AM254">
        <v>186.63</v>
      </c>
      <c r="AN254">
        <v>93.75</v>
      </c>
      <c r="AO254">
        <v>101.73</v>
      </c>
      <c r="AP254">
        <v>104.42</v>
      </c>
      <c r="AQ254">
        <v>99.3</v>
      </c>
    </row>
    <row r="255" spans="1:43" x14ac:dyDescent="0.25">
      <c r="A255" s="1">
        <v>45351</v>
      </c>
      <c r="B255">
        <v>5.3798000000000004</v>
      </c>
      <c r="C255">
        <v>5.242</v>
      </c>
      <c r="D255">
        <v>3.74</v>
      </c>
      <c r="E255">
        <v>-0.106</v>
      </c>
      <c r="F255">
        <v>4.6186999999999996</v>
      </c>
      <c r="G255">
        <v>4.2838000000000003</v>
      </c>
      <c r="H255">
        <v>2.8980000000000001</v>
      </c>
      <c r="I255">
        <v>0.17299999999999999</v>
      </c>
      <c r="J255">
        <v>4.2502000000000004</v>
      </c>
      <c r="K255">
        <v>4.1211000000000002</v>
      </c>
      <c r="L255">
        <v>2.41</v>
      </c>
      <c r="M255">
        <v>0.70299999999999996</v>
      </c>
      <c r="N255">
        <v>13.4</v>
      </c>
      <c r="O255">
        <v>125.968</v>
      </c>
      <c r="P255">
        <v>104.15600000000001</v>
      </c>
      <c r="Q255">
        <v>127.92100000000001</v>
      </c>
      <c r="R255">
        <v>4.9707999999999997</v>
      </c>
      <c r="S255">
        <v>78.260000000000005</v>
      </c>
      <c r="T255">
        <v>83.62</v>
      </c>
      <c r="U255">
        <v>491.95</v>
      </c>
      <c r="V255">
        <v>1007.78</v>
      </c>
      <c r="W255">
        <v>3337.2</v>
      </c>
      <c r="X255">
        <v>1020.94</v>
      </c>
      <c r="Y255">
        <v>129020.02</v>
      </c>
      <c r="Z255">
        <v>13.171900000000001</v>
      </c>
      <c r="AA255">
        <v>10.446</v>
      </c>
      <c r="AB255">
        <v>10.793200000000001</v>
      </c>
      <c r="AC255">
        <v>10.0274</v>
      </c>
      <c r="AD255">
        <v>9.8209999999999997</v>
      </c>
      <c r="AE255">
        <v>9.8879000000000001</v>
      </c>
      <c r="AF255">
        <v>11.15</v>
      </c>
      <c r="AG255">
        <v>1.0805</v>
      </c>
      <c r="AH255">
        <v>149.97999999999999</v>
      </c>
      <c r="AI255">
        <v>1.2625</v>
      </c>
      <c r="AJ255">
        <v>1.3579000000000001</v>
      </c>
      <c r="AK255">
        <v>10.3736</v>
      </c>
      <c r="AL255">
        <v>0.88449999999999995</v>
      </c>
      <c r="AM255">
        <v>186.63</v>
      </c>
      <c r="AN255">
        <v>92.36</v>
      </c>
      <c r="AO255">
        <v>101.67</v>
      </c>
      <c r="AP255">
        <v>104.77</v>
      </c>
      <c r="AQ255">
        <v>102.16</v>
      </c>
    </row>
    <row r="256" spans="1:43" x14ac:dyDescent="0.25">
      <c r="A256" s="1">
        <v>45380</v>
      </c>
      <c r="B256">
        <v>5.3617999999999997</v>
      </c>
      <c r="C256">
        <v>5.25</v>
      </c>
      <c r="D256">
        <v>3.6589999999999998</v>
      </c>
      <c r="E256">
        <v>-5.0999999999999997E-2</v>
      </c>
      <c r="F256">
        <v>4.62</v>
      </c>
      <c r="G256">
        <v>4.1632999999999996</v>
      </c>
      <c r="H256">
        <v>2.8460000000000001</v>
      </c>
      <c r="I256">
        <v>0.18</v>
      </c>
      <c r="J256">
        <v>4.2003000000000004</v>
      </c>
      <c r="K256">
        <v>3.9317000000000002</v>
      </c>
      <c r="L256">
        <v>2.2970000000000002</v>
      </c>
      <c r="M256">
        <v>0.72199999999999998</v>
      </c>
      <c r="N256">
        <v>13.01</v>
      </c>
      <c r="O256">
        <v>137.93199999999999</v>
      </c>
      <c r="P256">
        <v>104.48699999999999</v>
      </c>
      <c r="Q256">
        <v>127.3586</v>
      </c>
      <c r="R256">
        <v>5.0141</v>
      </c>
      <c r="S256">
        <v>83.17</v>
      </c>
      <c r="T256">
        <v>87.48</v>
      </c>
      <c r="U256">
        <v>524.70000000000005</v>
      </c>
      <c r="V256">
        <v>1002.28</v>
      </c>
      <c r="W256">
        <v>3437.76</v>
      </c>
      <c r="X256">
        <v>1043.2</v>
      </c>
      <c r="Y256">
        <v>128106.1</v>
      </c>
      <c r="Z256">
        <v>13.171900000000001</v>
      </c>
      <c r="AA256">
        <v>10.7028</v>
      </c>
      <c r="AB256">
        <v>11.024900000000001</v>
      </c>
      <c r="AC256">
        <v>10.226599999999999</v>
      </c>
      <c r="AD256">
        <v>9.9629999999999992</v>
      </c>
      <c r="AE256">
        <v>9.8420000000000005</v>
      </c>
      <c r="AF256">
        <v>10.65</v>
      </c>
      <c r="AG256">
        <v>1.079</v>
      </c>
      <c r="AH256">
        <v>151.35</v>
      </c>
      <c r="AI256">
        <v>1.2623</v>
      </c>
      <c r="AJ256">
        <v>1.3540000000000001</v>
      </c>
      <c r="AK256">
        <v>10.6584</v>
      </c>
      <c r="AL256">
        <v>0.90139999999999998</v>
      </c>
      <c r="AM256">
        <v>186.63</v>
      </c>
      <c r="AN256">
        <v>96.5</v>
      </c>
      <c r="AO256">
        <v>102.04</v>
      </c>
      <c r="AP256">
        <v>104.42</v>
      </c>
      <c r="AQ256">
        <v>109.68</v>
      </c>
    </row>
    <row r="257" spans="1:43" x14ac:dyDescent="0.25">
      <c r="A257" s="1">
        <v>45412</v>
      </c>
      <c r="B257">
        <v>5.3917999999999999</v>
      </c>
      <c r="C257">
        <v>5.218</v>
      </c>
      <c r="D257">
        <v>3.6219999999999999</v>
      </c>
      <c r="E257">
        <v>3.5999999999999997E-2</v>
      </c>
      <c r="F257">
        <v>5.0350999999999999</v>
      </c>
      <c r="G257">
        <v>4.4943999999999997</v>
      </c>
      <c r="H257">
        <v>3.03</v>
      </c>
      <c r="I257">
        <v>0.27800000000000002</v>
      </c>
      <c r="J257">
        <v>4.6798000000000002</v>
      </c>
      <c r="K257">
        <v>4.3460000000000001</v>
      </c>
      <c r="L257">
        <v>2.5830000000000002</v>
      </c>
      <c r="M257">
        <v>0.874</v>
      </c>
      <c r="N257">
        <v>15.65</v>
      </c>
      <c r="O257">
        <v>150.50899999999999</v>
      </c>
      <c r="P257">
        <v>106.221</v>
      </c>
      <c r="Q257">
        <v>128.5728</v>
      </c>
      <c r="R257">
        <v>5.1933999999999996</v>
      </c>
      <c r="S257">
        <v>81.93</v>
      </c>
      <c r="T257">
        <v>87.86</v>
      </c>
      <c r="U257">
        <v>533.12</v>
      </c>
      <c r="V257">
        <v>1093.69</v>
      </c>
      <c r="W257">
        <v>3305.3</v>
      </c>
      <c r="X257">
        <v>1045.95</v>
      </c>
      <c r="Y257">
        <v>125924.19</v>
      </c>
      <c r="Z257">
        <v>13.171900000000001</v>
      </c>
      <c r="AA257">
        <v>11.575799999999999</v>
      </c>
      <c r="AB257">
        <v>11.854799999999999</v>
      </c>
      <c r="AC257">
        <v>11.103400000000001</v>
      </c>
      <c r="AD257">
        <v>10.7692</v>
      </c>
      <c r="AE257">
        <v>10.3939</v>
      </c>
      <c r="AF257">
        <v>10.65</v>
      </c>
      <c r="AG257">
        <v>1.0666</v>
      </c>
      <c r="AH257">
        <v>157.80000000000001</v>
      </c>
      <c r="AI257">
        <v>1.2492000000000001</v>
      </c>
      <c r="AJ257">
        <v>1.3777999999999999</v>
      </c>
      <c r="AK257">
        <v>11.024800000000001</v>
      </c>
      <c r="AL257">
        <v>0.9194</v>
      </c>
      <c r="AM257">
        <v>186.63</v>
      </c>
      <c r="AN257">
        <v>99.72</v>
      </c>
      <c r="AO257">
        <v>101.83</v>
      </c>
      <c r="AP257">
        <v>105.27</v>
      </c>
      <c r="AQ257">
        <v>109.23</v>
      </c>
    </row>
    <row r="258" spans="1:43" x14ac:dyDescent="0.25">
      <c r="A258" s="1">
        <v>45443</v>
      </c>
      <c r="B258">
        <v>5.4009</v>
      </c>
      <c r="C258">
        <v>5.2619999999999996</v>
      </c>
      <c r="D258">
        <v>3.5449999999999999</v>
      </c>
      <c r="E258">
        <v>7.4999999999999997E-2</v>
      </c>
      <c r="F258">
        <v>4.8727</v>
      </c>
      <c r="G258">
        <v>4.383</v>
      </c>
      <c r="H258">
        <v>3.093</v>
      </c>
      <c r="I258">
        <v>0.39900000000000002</v>
      </c>
      <c r="J258">
        <v>4.4984999999999999</v>
      </c>
      <c r="K258">
        <v>4.3174999999999999</v>
      </c>
      <c r="L258">
        <v>2.6629999999999998</v>
      </c>
      <c r="M258">
        <v>1.0640000000000001</v>
      </c>
      <c r="N258">
        <v>12.92</v>
      </c>
      <c r="O258">
        <v>142.959</v>
      </c>
      <c r="P258">
        <v>104.67100000000001</v>
      </c>
      <c r="Q258">
        <v>128.46729999999999</v>
      </c>
      <c r="R258">
        <v>5.2461000000000002</v>
      </c>
      <c r="S258">
        <v>76.989999999999995</v>
      </c>
      <c r="T258">
        <v>81.62</v>
      </c>
      <c r="U258">
        <v>529.55999999999995</v>
      </c>
      <c r="V258">
        <v>1104.32</v>
      </c>
      <c r="W258">
        <v>3445.17</v>
      </c>
      <c r="X258">
        <v>1048.96</v>
      </c>
      <c r="Y258">
        <v>122098.09</v>
      </c>
      <c r="Z258">
        <v>13.171900000000001</v>
      </c>
      <c r="AA258">
        <v>11.683199999999999</v>
      </c>
      <c r="AB258">
        <v>11.8926</v>
      </c>
      <c r="AC258">
        <v>11.283899999999999</v>
      </c>
      <c r="AD258">
        <v>10.962899999999999</v>
      </c>
      <c r="AE258">
        <v>10.5632</v>
      </c>
      <c r="AF258">
        <v>10.4</v>
      </c>
      <c r="AG258">
        <v>1.0848</v>
      </c>
      <c r="AH258">
        <v>157.31</v>
      </c>
      <c r="AI258">
        <v>1.2742</v>
      </c>
      <c r="AJ258">
        <v>1.3628</v>
      </c>
      <c r="AK258">
        <v>10.5305</v>
      </c>
      <c r="AL258">
        <v>0.90229999999999999</v>
      </c>
      <c r="AM258">
        <v>186.63</v>
      </c>
      <c r="AN258">
        <v>103.51</v>
      </c>
      <c r="AO258">
        <v>100.65</v>
      </c>
      <c r="AP258">
        <v>105.66</v>
      </c>
      <c r="AQ258">
        <v>104.71</v>
      </c>
    </row>
    <row r="259" spans="1:43" x14ac:dyDescent="0.25">
      <c r="A259" s="1">
        <v>45471</v>
      </c>
      <c r="B259">
        <v>5.3548999999999998</v>
      </c>
      <c r="C259">
        <v>5.2350000000000003</v>
      </c>
      <c r="D259">
        <v>3.323</v>
      </c>
      <c r="E259">
        <v>2.7E-2</v>
      </c>
      <c r="F259">
        <v>4.7534999999999998</v>
      </c>
      <c r="G259">
        <v>4.1965000000000003</v>
      </c>
      <c r="H259">
        <v>2.8279999999999998</v>
      </c>
      <c r="I259">
        <v>0.35799999999999998</v>
      </c>
      <c r="J259">
        <v>4.3960999999999997</v>
      </c>
      <c r="K259">
        <v>4.1717000000000004</v>
      </c>
      <c r="L259">
        <v>2.4969999999999999</v>
      </c>
      <c r="M259">
        <v>1.0489999999999999</v>
      </c>
      <c r="N259">
        <v>12.44</v>
      </c>
      <c r="O259">
        <v>170.41399999999999</v>
      </c>
      <c r="P259">
        <v>105.866</v>
      </c>
      <c r="Q259">
        <v>132.10079999999999</v>
      </c>
      <c r="R259">
        <v>5.5940000000000003</v>
      </c>
      <c r="S259">
        <v>81.540000000000006</v>
      </c>
      <c r="T259">
        <v>86.41</v>
      </c>
      <c r="U259">
        <v>514.95000000000005</v>
      </c>
      <c r="V259">
        <v>1079.9000000000001</v>
      </c>
      <c r="W259">
        <v>3511.78</v>
      </c>
      <c r="X259">
        <v>1086.25</v>
      </c>
      <c r="Y259">
        <v>123906.55</v>
      </c>
      <c r="Z259">
        <v>13.171900000000001</v>
      </c>
      <c r="AA259">
        <v>12.387600000000001</v>
      </c>
      <c r="AB259">
        <v>12.406499999999999</v>
      </c>
      <c r="AC259">
        <v>12.107200000000001</v>
      </c>
      <c r="AD259">
        <v>11.82</v>
      </c>
      <c r="AE259">
        <v>11.234999999999999</v>
      </c>
      <c r="AF259">
        <v>10.4</v>
      </c>
      <c r="AG259">
        <v>1.0712999999999999</v>
      </c>
      <c r="AH259">
        <v>160.88</v>
      </c>
      <c r="AI259">
        <v>1.2645</v>
      </c>
      <c r="AJ259">
        <v>1.3678999999999999</v>
      </c>
      <c r="AK259">
        <v>10.5974</v>
      </c>
      <c r="AL259">
        <v>0.89880000000000004</v>
      </c>
      <c r="AM259">
        <v>186.63</v>
      </c>
      <c r="AN259">
        <v>105.19</v>
      </c>
      <c r="AO259">
        <v>105.11</v>
      </c>
      <c r="AP259">
        <v>106.5</v>
      </c>
      <c r="AQ259">
        <v>105.76</v>
      </c>
    </row>
    <row r="260" spans="1:43" x14ac:dyDescent="0.25">
      <c r="A260" s="1">
        <v>45504</v>
      </c>
      <c r="B260">
        <v>5.2839999999999998</v>
      </c>
      <c r="C260">
        <v>5.1150000000000002</v>
      </c>
      <c r="D260">
        <v>3.3149999999999999</v>
      </c>
      <c r="E260">
        <v>0.11799999999999999</v>
      </c>
      <c r="F260">
        <v>4.2575000000000003</v>
      </c>
      <c r="G260">
        <v>3.8060999999999998</v>
      </c>
      <c r="H260">
        <v>2.5249999999999999</v>
      </c>
      <c r="I260">
        <v>0.44900000000000001</v>
      </c>
      <c r="J260">
        <v>4.0296000000000003</v>
      </c>
      <c r="K260">
        <v>3.9691000000000001</v>
      </c>
      <c r="L260">
        <v>2.302</v>
      </c>
      <c r="M260">
        <v>1.05</v>
      </c>
      <c r="N260">
        <v>16.36</v>
      </c>
      <c r="O260">
        <v>158.25700000000001</v>
      </c>
      <c r="P260">
        <v>104.096</v>
      </c>
      <c r="Q260">
        <v>132.02010000000001</v>
      </c>
      <c r="R260">
        <v>5.6505000000000001</v>
      </c>
      <c r="S260">
        <v>77.91</v>
      </c>
      <c r="T260">
        <v>80.72</v>
      </c>
      <c r="U260">
        <v>521.20000000000005</v>
      </c>
      <c r="V260">
        <v>1030.93</v>
      </c>
      <c r="W260">
        <v>3571.58</v>
      </c>
      <c r="X260">
        <v>1084.77</v>
      </c>
      <c r="Y260">
        <v>127651.81</v>
      </c>
      <c r="Z260">
        <v>13.171900000000001</v>
      </c>
      <c r="AA260">
        <v>11.998200000000001</v>
      </c>
      <c r="AB260">
        <v>11.9229</v>
      </c>
      <c r="AC260">
        <v>11.910399999999999</v>
      </c>
      <c r="AD260">
        <v>11.790900000000001</v>
      </c>
      <c r="AE260">
        <v>11.391999999999999</v>
      </c>
      <c r="AF260">
        <v>10.4</v>
      </c>
      <c r="AG260">
        <v>1.0826</v>
      </c>
      <c r="AH260">
        <v>149.97999999999999</v>
      </c>
      <c r="AI260">
        <v>1.2856000000000001</v>
      </c>
      <c r="AJ260">
        <v>1.3808</v>
      </c>
      <c r="AK260">
        <v>10.696199999999999</v>
      </c>
      <c r="AL260">
        <v>0.878</v>
      </c>
      <c r="AM260">
        <v>186.63</v>
      </c>
      <c r="AN260">
        <v>111.98</v>
      </c>
      <c r="AO260">
        <v>103.51</v>
      </c>
      <c r="AP260">
        <v>106.93</v>
      </c>
      <c r="AQ260">
        <v>111.57</v>
      </c>
    </row>
    <row r="261" spans="1:43" x14ac:dyDescent="0.25">
      <c r="A261" s="1">
        <v>45534</v>
      </c>
      <c r="B261">
        <v>5.1116999999999999</v>
      </c>
      <c r="C261">
        <v>4.9820000000000002</v>
      </c>
      <c r="D261">
        <v>3.1890000000000001</v>
      </c>
      <c r="E261">
        <v>0.114</v>
      </c>
      <c r="F261">
        <v>3.9165000000000001</v>
      </c>
      <c r="G261">
        <v>4.1040999999999999</v>
      </c>
      <c r="H261">
        <v>2.3879999999999999</v>
      </c>
      <c r="I261">
        <v>0.36199999999999999</v>
      </c>
      <c r="J261">
        <v>3.9034</v>
      </c>
      <c r="K261">
        <v>4.0141999999999998</v>
      </c>
      <c r="L261">
        <v>2.298</v>
      </c>
      <c r="M261">
        <v>0.88900000000000001</v>
      </c>
      <c r="N261">
        <v>15</v>
      </c>
      <c r="O261">
        <v>150.19300000000001</v>
      </c>
      <c r="P261">
        <v>101.69799999999999</v>
      </c>
      <c r="Q261">
        <v>132.80799999999999</v>
      </c>
      <c r="R261">
        <v>5.6067999999999998</v>
      </c>
      <c r="S261">
        <v>73.55</v>
      </c>
      <c r="T261">
        <v>78.8</v>
      </c>
      <c r="U261">
        <v>519.08000000000004</v>
      </c>
      <c r="V261">
        <v>1057.9100000000001</v>
      </c>
      <c r="W261">
        <v>3661.24</v>
      </c>
      <c r="X261">
        <v>1099.92</v>
      </c>
      <c r="Y261">
        <v>136004.01</v>
      </c>
      <c r="Z261">
        <v>13.171900000000001</v>
      </c>
      <c r="AA261">
        <v>12.101100000000001</v>
      </c>
      <c r="AB261">
        <v>12.034800000000001</v>
      </c>
      <c r="AC261">
        <v>12.008699999999999</v>
      </c>
      <c r="AD261">
        <v>11.924300000000001</v>
      </c>
      <c r="AE261">
        <v>11.7517</v>
      </c>
      <c r="AF261">
        <v>10.4</v>
      </c>
      <c r="AG261">
        <v>1.1048</v>
      </c>
      <c r="AH261">
        <v>146.16999999999999</v>
      </c>
      <c r="AI261">
        <v>1.3127</v>
      </c>
      <c r="AJ261">
        <v>1.3492</v>
      </c>
      <c r="AK261">
        <v>10.274800000000001</v>
      </c>
      <c r="AL261">
        <v>0.84960000000000002</v>
      </c>
      <c r="AM261">
        <v>186.63</v>
      </c>
      <c r="AN261">
        <v>113.83</v>
      </c>
      <c r="AO261">
        <v>103.26</v>
      </c>
      <c r="AP261">
        <v>107.12</v>
      </c>
      <c r="AQ261">
        <v>110.09</v>
      </c>
    </row>
    <row r="262" spans="1:43" x14ac:dyDescent="0.25">
      <c r="A262" s="1">
        <v>45565</v>
      </c>
      <c r="B262">
        <v>4.6169000000000002</v>
      </c>
      <c r="C262">
        <v>4.9009999999999998</v>
      </c>
      <c r="D262">
        <v>3.0059999999999998</v>
      </c>
      <c r="E262">
        <v>0.04</v>
      </c>
      <c r="F262">
        <v>3.6410999999999998</v>
      </c>
      <c r="G262">
        <v>3.9782999999999999</v>
      </c>
      <c r="H262">
        <v>2.0640000000000001</v>
      </c>
      <c r="I262">
        <v>0.38300000000000001</v>
      </c>
      <c r="J262">
        <v>3.7808999999999999</v>
      </c>
      <c r="K262">
        <v>4.0022000000000002</v>
      </c>
      <c r="L262">
        <v>2.1219999999999999</v>
      </c>
      <c r="M262">
        <v>0.85299999999999998</v>
      </c>
      <c r="N262">
        <v>16.73</v>
      </c>
      <c r="O262">
        <v>152.53899999999999</v>
      </c>
      <c r="P262">
        <v>100.779</v>
      </c>
      <c r="Q262">
        <v>132.72049999999999</v>
      </c>
      <c r="R262">
        <v>5.4496000000000002</v>
      </c>
      <c r="S262">
        <v>68.17</v>
      </c>
      <c r="T262">
        <v>71.77</v>
      </c>
      <c r="U262">
        <v>513.58000000000004</v>
      </c>
      <c r="V262">
        <v>1095.6500000000001</v>
      </c>
      <c r="W262">
        <v>3723.03</v>
      </c>
      <c r="X262">
        <v>1170.8499999999999</v>
      </c>
      <c r="Y262">
        <v>131816.44</v>
      </c>
      <c r="Z262">
        <v>13.171900000000001</v>
      </c>
      <c r="AA262">
        <v>12.4642</v>
      </c>
      <c r="AB262">
        <v>12.306900000000001</v>
      </c>
      <c r="AC262">
        <v>12.412000000000001</v>
      </c>
      <c r="AD262">
        <v>12.417199999999999</v>
      </c>
      <c r="AE262">
        <v>12.18</v>
      </c>
      <c r="AF262">
        <v>10.65</v>
      </c>
      <c r="AG262">
        <v>1.1134999999999999</v>
      </c>
      <c r="AH262">
        <v>143.63</v>
      </c>
      <c r="AI262">
        <v>1.3374999999999999</v>
      </c>
      <c r="AJ262">
        <v>1.3525</v>
      </c>
      <c r="AK262">
        <v>10.160399999999999</v>
      </c>
      <c r="AL262">
        <v>0.84560000000000002</v>
      </c>
      <c r="AM262">
        <v>186.63</v>
      </c>
      <c r="AN262">
        <v>109.75</v>
      </c>
      <c r="AO262">
        <v>104.3</v>
      </c>
      <c r="AP262">
        <v>108.03</v>
      </c>
      <c r="AQ262">
        <v>107.1</v>
      </c>
    </row>
    <row r="263" spans="1:43" x14ac:dyDescent="0.25">
      <c r="A263" s="1">
        <v>45596</v>
      </c>
      <c r="B263">
        <v>4.5418000000000003</v>
      </c>
      <c r="C263">
        <v>4.79</v>
      </c>
      <c r="D263">
        <v>2.7480000000000002</v>
      </c>
      <c r="E263">
        <v>3.1E-2</v>
      </c>
      <c r="F263">
        <v>4.1702000000000004</v>
      </c>
      <c r="G263">
        <v>4.4265999999999996</v>
      </c>
      <c r="H263">
        <v>2.2759999999999998</v>
      </c>
      <c r="I263">
        <v>0.443</v>
      </c>
      <c r="J263">
        <v>4.2843999999999998</v>
      </c>
      <c r="K263">
        <v>4.4438000000000004</v>
      </c>
      <c r="L263">
        <v>2.3879999999999999</v>
      </c>
      <c r="M263">
        <v>0.94199999999999995</v>
      </c>
      <c r="N263">
        <v>23.16</v>
      </c>
      <c r="O263">
        <v>158.29599999999999</v>
      </c>
      <c r="P263">
        <v>103.976</v>
      </c>
      <c r="Q263">
        <v>133.77090000000001</v>
      </c>
      <c r="R263">
        <v>5.7877000000000001</v>
      </c>
      <c r="S263">
        <v>69.260000000000005</v>
      </c>
      <c r="T263">
        <v>73.16</v>
      </c>
      <c r="U263">
        <v>512.1</v>
      </c>
      <c r="V263">
        <v>1075.4000000000001</v>
      </c>
      <c r="W263">
        <v>3647.14</v>
      </c>
      <c r="X263">
        <v>1119.52</v>
      </c>
      <c r="Y263">
        <v>129713.33</v>
      </c>
      <c r="Z263">
        <v>13.171900000000001</v>
      </c>
      <c r="AA263">
        <v>12.9582</v>
      </c>
      <c r="AB263">
        <v>12.7118</v>
      </c>
      <c r="AC263">
        <v>12.9908</v>
      </c>
      <c r="AD263">
        <v>12.9693</v>
      </c>
      <c r="AE263">
        <v>12.6845</v>
      </c>
      <c r="AF263">
        <v>10.65</v>
      </c>
      <c r="AG263">
        <v>1.0884</v>
      </c>
      <c r="AH263">
        <v>152.03</v>
      </c>
      <c r="AI263">
        <v>1.2899</v>
      </c>
      <c r="AJ263">
        <v>1.3934</v>
      </c>
      <c r="AK263">
        <v>10.648199999999999</v>
      </c>
      <c r="AL263">
        <v>0.86409999999999998</v>
      </c>
      <c r="AM263">
        <v>186.63</v>
      </c>
      <c r="AN263">
        <v>113.57</v>
      </c>
      <c r="AO263">
        <v>104.33</v>
      </c>
      <c r="AP263">
        <v>108.2</v>
      </c>
      <c r="AQ263">
        <v>109.21</v>
      </c>
    </row>
    <row r="264" spans="1:43" x14ac:dyDescent="0.25">
      <c r="A264" s="1">
        <v>45625</v>
      </c>
      <c r="B264">
        <v>4.4858000000000002</v>
      </c>
      <c r="C264">
        <v>4.7130000000000001</v>
      </c>
      <c r="D264">
        <v>2.556</v>
      </c>
      <c r="E264">
        <v>0.13500000000000001</v>
      </c>
      <c r="F264">
        <v>4.1509</v>
      </c>
      <c r="G264">
        <v>4.2302999999999997</v>
      </c>
      <c r="H264">
        <v>1.9450000000000001</v>
      </c>
      <c r="I264">
        <v>0.58299999999999996</v>
      </c>
      <c r="J264">
        <v>4.1684999999999999</v>
      </c>
      <c r="K264">
        <v>4.2405999999999997</v>
      </c>
      <c r="L264">
        <v>2.0859999999999999</v>
      </c>
      <c r="M264">
        <v>1.0389999999999999</v>
      </c>
      <c r="N264">
        <v>13.51</v>
      </c>
      <c r="O264">
        <v>163.126</v>
      </c>
      <c r="P264">
        <v>105.73699999999999</v>
      </c>
      <c r="Q264">
        <v>136.5813</v>
      </c>
      <c r="R264">
        <v>5.9713000000000003</v>
      </c>
      <c r="S264">
        <v>68</v>
      </c>
      <c r="T264">
        <v>72.94</v>
      </c>
      <c r="U264">
        <v>520.78</v>
      </c>
      <c r="V264">
        <v>1043.05</v>
      </c>
      <c r="W264">
        <v>3810.14</v>
      </c>
      <c r="X264">
        <v>1078.57</v>
      </c>
      <c r="Y264">
        <v>125667.83</v>
      </c>
      <c r="Z264">
        <v>13.171900000000001</v>
      </c>
      <c r="AA264">
        <v>13.7072</v>
      </c>
      <c r="AB264">
        <v>13.365600000000001</v>
      </c>
      <c r="AC264">
        <v>13.9483</v>
      </c>
      <c r="AD264">
        <v>14.0564</v>
      </c>
      <c r="AE264">
        <v>13.8674</v>
      </c>
      <c r="AF264">
        <v>11.15</v>
      </c>
      <c r="AG264">
        <v>1.0577000000000001</v>
      </c>
      <c r="AH264">
        <v>149.77000000000001</v>
      </c>
      <c r="AI264">
        <v>1.2735000000000001</v>
      </c>
      <c r="AJ264">
        <v>1.4006000000000001</v>
      </c>
      <c r="AK264">
        <v>10.8972</v>
      </c>
      <c r="AL264">
        <v>0.88100000000000001</v>
      </c>
      <c r="AM264">
        <v>186.63</v>
      </c>
      <c r="AN264">
        <v>104.62</v>
      </c>
      <c r="AO264">
        <v>103.77</v>
      </c>
      <c r="AP264">
        <v>107.99</v>
      </c>
      <c r="AQ264">
        <v>105.45</v>
      </c>
    </row>
    <row r="265" spans="1:43" x14ac:dyDescent="0.25">
      <c r="A265" s="1">
        <v>45657</v>
      </c>
      <c r="B265">
        <v>4.3144</v>
      </c>
      <c r="C265">
        <v>4.718</v>
      </c>
      <c r="D265">
        <v>2.4849999999999999</v>
      </c>
      <c r="E265">
        <v>0.222</v>
      </c>
      <c r="F265">
        <v>4.2416</v>
      </c>
      <c r="G265">
        <v>4.3757999999999999</v>
      </c>
      <c r="H265">
        <v>2.077</v>
      </c>
      <c r="I265">
        <v>0.59699999999999998</v>
      </c>
      <c r="J265">
        <v>4.569</v>
      </c>
      <c r="K265">
        <v>4.5648999999999997</v>
      </c>
      <c r="L265">
        <v>2.3639999999999999</v>
      </c>
      <c r="M265">
        <v>1.085</v>
      </c>
      <c r="N265">
        <v>17.350000000000001</v>
      </c>
      <c r="O265">
        <v>216.43299999999999</v>
      </c>
      <c r="P265">
        <v>108.48699999999999</v>
      </c>
      <c r="Q265">
        <v>137.4717</v>
      </c>
      <c r="R265">
        <v>6.1773999999999996</v>
      </c>
      <c r="S265">
        <v>71.72</v>
      </c>
      <c r="T265">
        <v>74.64</v>
      </c>
      <c r="U265">
        <v>529.35</v>
      </c>
      <c r="V265">
        <v>1032.25</v>
      </c>
      <c r="W265">
        <v>3707.84</v>
      </c>
      <c r="X265">
        <v>1075.48</v>
      </c>
      <c r="Y265">
        <v>120283.4</v>
      </c>
      <c r="Z265">
        <v>13.171900000000001</v>
      </c>
      <c r="AA265">
        <v>15.5944</v>
      </c>
      <c r="AB265">
        <v>14.971</v>
      </c>
      <c r="AC265">
        <v>15.8855</v>
      </c>
      <c r="AD265">
        <v>15.936</v>
      </c>
      <c r="AE265">
        <v>15.407999999999999</v>
      </c>
      <c r="AF265">
        <v>12.15</v>
      </c>
      <c r="AG265">
        <v>1.0354000000000001</v>
      </c>
      <c r="AH265">
        <v>157.19999999999999</v>
      </c>
      <c r="AI265">
        <v>1.2516</v>
      </c>
      <c r="AJ265">
        <v>1.4383999999999999</v>
      </c>
      <c r="AK265">
        <v>11.071300000000001</v>
      </c>
      <c r="AL265">
        <v>0.90739999999999998</v>
      </c>
      <c r="AM265">
        <v>186.63</v>
      </c>
      <c r="AN265">
        <v>94.03</v>
      </c>
      <c r="AO265">
        <v>103.74</v>
      </c>
      <c r="AP265">
        <v>107.08</v>
      </c>
      <c r="AQ265">
        <v>104.16</v>
      </c>
    </row>
    <row r="266" spans="1:43" x14ac:dyDescent="0.25">
      <c r="A266" s="1">
        <v>45688</v>
      </c>
      <c r="B266">
        <v>4.2839</v>
      </c>
      <c r="C266">
        <v>4.5279999999999996</v>
      </c>
      <c r="D266">
        <v>2.4780000000000002</v>
      </c>
      <c r="E266">
        <v>0.318</v>
      </c>
      <c r="F266">
        <v>4.1970999999999998</v>
      </c>
      <c r="G266">
        <v>4.2121000000000004</v>
      </c>
      <c r="H266">
        <v>2.11</v>
      </c>
      <c r="I266">
        <v>0.71799999999999997</v>
      </c>
      <c r="J266">
        <v>4.5387000000000004</v>
      </c>
      <c r="K266">
        <v>4.5372000000000003</v>
      </c>
      <c r="L266">
        <v>2.4580000000000002</v>
      </c>
      <c r="M266">
        <v>1.2390000000000001</v>
      </c>
      <c r="N266">
        <v>16.43</v>
      </c>
      <c r="O266">
        <v>179.815</v>
      </c>
      <c r="P266">
        <v>108.37</v>
      </c>
      <c r="Q266">
        <v>138.34379999999999</v>
      </c>
      <c r="R266">
        <v>5.8440000000000003</v>
      </c>
      <c r="S266">
        <v>72.53</v>
      </c>
      <c r="T266">
        <v>76.760000000000005</v>
      </c>
      <c r="U266">
        <v>532.76</v>
      </c>
      <c r="V266">
        <v>1029.8599999999999</v>
      </c>
      <c r="W266">
        <v>3836.58</v>
      </c>
      <c r="X266">
        <v>1093.3699999999999</v>
      </c>
      <c r="Y266">
        <v>126134.94</v>
      </c>
      <c r="Z266">
        <v>13.171900000000001</v>
      </c>
      <c r="AA266">
        <v>14.6911</v>
      </c>
      <c r="AB266">
        <v>14.563000000000001</v>
      </c>
      <c r="AC266">
        <v>14.774900000000001</v>
      </c>
      <c r="AD266">
        <v>14.950100000000001</v>
      </c>
      <c r="AE266">
        <v>14.966900000000001</v>
      </c>
      <c r="AF266">
        <v>13.15</v>
      </c>
      <c r="AG266">
        <v>1.0362</v>
      </c>
      <c r="AH266">
        <v>155.19</v>
      </c>
      <c r="AI266">
        <v>1.2395</v>
      </c>
      <c r="AJ266">
        <v>1.4540999999999999</v>
      </c>
      <c r="AK266">
        <v>11.097200000000001</v>
      </c>
      <c r="AL266">
        <v>0.91090000000000004</v>
      </c>
      <c r="AM266">
        <v>186.63</v>
      </c>
      <c r="AN266">
        <v>94.98</v>
      </c>
      <c r="AO266">
        <v>103.63</v>
      </c>
      <c r="AP266">
        <v>108.32</v>
      </c>
      <c r="AQ266">
        <v>102.87</v>
      </c>
    </row>
    <row r="267" spans="1:43" x14ac:dyDescent="0.25">
      <c r="A267" s="1">
        <v>45716</v>
      </c>
      <c r="B267">
        <v>4.2942</v>
      </c>
      <c r="C267">
        <v>4.4640000000000004</v>
      </c>
      <c r="D267">
        <v>2.2309999999999999</v>
      </c>
      <c r="E267">
        <v>0.311</v>
      </c>
      <c r="F267">
        <v>3.9889000000000001</v>
      </c>
      <c r="G267">
        <v>4.1704999999999997</v>
      </c>
      <c r="H267">
        <v>2.0209999999999999</v>
      </c>
      <c r="I267">
        <v>0.80500000000000005</v>
      </c>
      <c r="J267">
        <v>4.2081999999999997</v>
      </c>
      <c r="K267">
        <v>4.4808000000000003</v>
      </c>
      <c r="L267">
        <v>2.4049999999999998</v>
      </c>
      <c r="M267">
        <v>1.3720000000000001</v>
      </c>
      <c r="N267">
        <v>19.63</v>
      </c>
      <c r="O267">
        <v>180.12</v>
      </c>
      <c r="P267">
        <v>107.614</v>
      </c>
      <c r="Q267">
        <v>137.6507</v>
      </c>
      <c r="R267">
        <v>5.8844000000000003</v>
      </c>
      <c r="S267">
        <v>69.760000000000005</v>
      </c>
      <c r="T267">
        <v>73.180000000000007</v>
      </c>
      <c r="U267">
        <v>509.91</v>
      </c>
      <c r="V267">
        <v>1081.32</v>
      </c>
      <c r="W267">
        <v>3805.33</v>
      </c>
      <c r="X267">
        <v>1097.25</v>
      </c>
      <c r="Y267">
        <v>122799.09</v>
      </c>
      <c r="Z267">
        <v>13.171900000000001</v>
      </c>
      <c r="AA267">
        <v>15.132</v>
      </c>
      <c r="AB267">
        <v>15.033200000000001</v>
      </c>
      <c r="AC267">
        <v>14.993399999999999</v>
      </c>
      <c r="AD267">
        <v>15.0307</v>
      </c>
      <c r="AE267">
        <v>15.042999999999999</v>
      </c>
      <c r="AF267">
        <v>13.15</v>
      </c>
      <c r="AG267">
        <v>1.0375000000000001</v>
      </c>
      <c r="AH267">
        <v>150.63</v>
      </c>
      <c r="AI267">
        <v>1.2577</v>
      </c>
      <c r="AJ267">
        <v>1.4460999999999999</v>
      </c>
      <c r="AK267">
        <v>10.7811</v>
      </c>
      <c r="AL267">
        <v>0.90310000000000001</v>
      </c>
      <c r="AM267">
        <v>186.63</v>
      </c>
      <c r="AN267">
        <v>93.5</v>
      </c>
      <c r="AO267">
        <v>103.07</v>
      </c>
      <c r="AP267">
        <v>108.92</v>
      </c>
      <c r="AQ267">
        <v>106.93</v>
      </c>
    </row>
    <row r="268" spans="1:43" x14ac:dyDescent="0.25">
      <c r="A268" s="1">
        <v>45747</v>
      </c>
      <c r="B268">
        <v>4.2937000000000003</v>
      </c>
      <c r="C268">
        <v>4.4969999999999999</v>
      </c>
      <c r="D268">
        <v>2.1040000000000001</v>
      </c>
      <c r="E268">
        <v>0.36699999999999999</v>
      </c>
      <c r="F268">
        <v>3.8832</v>
      </c>
      <c r="G268">
        <v>4.1927000000000003</v>
      </c>
      <c r="H268">
        <v>2.0449999999999999</v>
      </c>
      <c r="I268">
        <v>0.82899999999999996</v>
      </c>
      <c r="J268">
        <v>4.2053000000000003</v>
      </c>
      <c r="K268">
        <v>4.6738999999999997</v>
      </c>
      <c r="L268">
        <v>2.7360000000000002</v>
      </c>
      <c r="M268">
        <v>1.4850000000000001</v>
      </c>
      <c r="N268">
        <v>22.28</v>
      </c>
      <c r="O268">
        <v>186.54400000000001</v>
      </c>
      <c r="P268">
        <v>104.21</v>
      </c>
      <c r="Q268">
        <v>137.10560000000001</v>
      </c>
      <c r="R268">
        <v>5.7057000000000002</v>
      </c>
      <c r="S268">
        <v>71.48</v>
      </c>
      <c r="T268">
        <v>74.739999999999995</v>
      </c>
      <c r="U268">
        <v>510.6</v>
      </c>
      <c r="V268">
        <v>1161.0999999999999</v>
      </c>
      <c r="W268">
        <v>3628.64</v>
      </c>
      <c r="X268">
        <v>1101.4000000000001</v>
      </c>
      <c r="Y268">
        <v>130259.54</v>
      </c>
      <c r="Z268">
        <v>13.171900000000001</v>
      </c>
      <c r="AA268">
        <v>14.81</v>
      </c>
      <c r="AB268">
        <v>14.8126</v>
      </c>
      <c r="AC268">
        <v>14.71</v>
      </c>
      <c r="AD268">
        <v>14.882999999999999</v>
      </c>
      <c r="AE268">
        <v>15.085699999999999</v>
      </c>
      <c r="AF268">
        <v>14.15</v>
      </c>
      <c r="AG268">
        <v>1.0815999999999999</v>
      </c>
      <c r="AH268">
        <v>149.96</v>
      </c>
      <c r="AI268">
        <v>1.2918000000000001</v>
      </c>
      <c r="AJ268">
        <v>1.4387000000000001</v>
      </c>
      <c r="AK268">
        <v>10.0395</v>
      </c>
      <c r="AL268">
        <v>0.88429999999999997</v>
      </c>
      <c r="AM268">
        <v>186.63</v>
      </c>
      <c r="AN268">
        <v>99.89</v>
      </c>
      <c r="AO268">
        <v>104.75</v>
      </c>
      <c r="AP268">
        <v>109.83</v>
      </c>
      <c r="AQ268">
        <v>114.2</v>
      </c>
    </row>
    <row r="269" spans="1:43" x14ac:dyDescent="0.25">
      <c r="A269" s="1">
        <v>45777</v>
      </c>
      <c r="B269">
        <v>4.2858999999999998</v>
      </c>
      <c r="C269">
        <v>4.2750000000000004</v>
      </c>
      <c r="D269">
        <v>1.877</v>
      </c>
      <c r="E269">
        <v>0.38100000000000001</v>
      </c>
      <c r="F269">
        <v>3.6027</v>
      </c>
      <c r="G269">
        <v>3.7965</v>
      </c>
      <c r="H269">
        <v>1.6830000000000001</v>
      </c>
      <c r="I269">
        <v>0.67100000000000004</v>
      </c>
      <c r="J269">
        <v>4.1619000000000002</v>
      </c>
      <c r="K269">
        <v>4.4396000000000004</v>
      </c>
      <c r="L269">
        <v>2.4430000000000001</v>
      </c>
      <c r="M269">
        <v>1.31</v>
      </c>
      <c r="N269">
        <v>24.7</v>
      </c>
      <c r="O269">
        <v>180.233</v>
      </c>
      <c r="P269">
        <v>99.468000000000004</v>
      </c>
      <c r="Q269">
        <v>136.86080000000001</v>
      </c>
      <c r="R269">
        <v>5.6734</v>
      </c>
      <c r="S269">
        <v>58.21</v>
      </c>
      <c r="T269">
        <v>63.12</v>
      </c>
      <c r="U269">
        <v>529.01</v>
      </c>
      <c r="V269">
        <v>1072.3699999999999</v>
      </c>
      <c r="W269">
        <v>3655.52</v>
      </c>
      <c r="X269">
        <v>1112.8399999999999</v>
      </c>
      <c r="Y269">
        <v>135066.97</v>
      </c>
      <c r="Z269">
        <v>13.171900000000001</v>
      </c>
      <c r="AA269">
        <v>13.7158</v>
      </c>
      <c r="AB269">
        <v>13.8446</v>
      </c>
      <c r="AC269">
        <v>13.450100000000001</v>
      </c>
      <c r="AD269">
        <v>13.7019</v>
      </c>
      <c r="AE269">
        <v>14.462899999999999</v>
      </c>
      <c r="AF269">
        <v>14.15</v>
      </c>
      <c r="AG269">
        <v>1.1328</v>
      </c>
      <c r="AH269">
        <v>143.07</v>
      </c>
      <c r="AI269">
        <v>1.3329</v>
      </c>
      <c r="AJ269">
        <v>1.3798999999999999</v>
      </c>
      <c r="AK269">
        <v>9.6647999999999996</v>
      </c>
      <c r="AL269">
        <v>0.82579999999999998</v>
      </c>
      <c r="AM269">
        <v>186.63</v>
      </c>
      <c r="AN269">
        <v>99.26</v>
      </c>
      <c r="AO269">
        <v>104.39</v>
      </c>
      <c r="AP269">
        <v>110.45</v>
      </c>
      <c r="AQ269">
        <v>112.63</v>
      </c>
    </row>
    <row r="270" spans="1:43" x14ac:dyDescent="0.25">
      <c r="A270" s="1">
        <v>45807</v>
      </c>
      <c r="B270">
        <v>4.3330000000000002</v>
      </c>
      <c r="C270">
        <v>4.2690000000000001</v>
      </c>
      <c r="D270">
        <v>1.8420000000000001</v>
      </c>
      <c r="E270">
        <v>0.40500000000000003</v>
      </c>
      <c r="F270">
        <v>3.8975</v>
      </c>
      <c r="G270">
        <v>4.0162000000000004</v>
      </c>
      <c r="H270">
        <v>1.772</v>
      </c>
      <c r="I270">
        <v>0.73199999999999998</v>
      </c>
      <c r="J270">
        <v>4.4004000000000003</v>
      </c>
      <c r="K270">
        <v>4.6452999999999998</v>
      </c>
      <c r="L270">
        <v>2.4990000000000001</v>
      </c>
      <c r="M270">
        <v>1.488</v>
      </c>
      <c r="N270">
        <v>18.57</v>
      </c>
      <c r="O270">
        <v>161.81399999999999</v>
      </c>
      <c r="P270">
        <v>99.328999999999994</v>
      </c>
      <c r="Q270">
        <v>133.77539999999999</v>
      </c>
      <c r="R270">
        <v>5.7230999999999996</v>
      </c>
      <c r="S270">
        <v>60.79</v>
      </c>
      <c r="T270">
        <v>64.150000000000006</v>
      </c>
      <c r="U270">
        <v>550.54</v>
      </c>
      <c r="V270">
        <v>1048.3800000000001</v>
      </c>
      <c r="W270">
        <v>3863.48</v>
      </c>
      <c r="X270">
        <v>1157.3399999999999</v>
      </c>
      <c r="Y270">
        <v>137026.62</v>
      </c>
      <c r="Z270">
        <v>13.171900000000001</v>
      </c>
      <c r="AA270">
        <v>13.701599999999999</v>
      </c>
      <c r="AB270">
        <v>13.7636</v>
      </c>
      <c r="AC270">
        <v>13.5701</v>
      </c>
      <c r="AD270">
        <v>13.8779</v>
      </c>
      <c r="AE270">
        <v>14.6288</v>
      </c>
      <c r="AF270">
        <v>14.65</v>
      </c>
      <c r="AG270">
        <v>1.1347</v>
      </c>
      <c r="AH270">
        <v>144.02000000000001</v>
      </c>
      <c r="AI270">
        <v>1.3459000000000001</v>
      </c>
      <c r="AJ270">
        <v>1.3738999999999999</v>
      </c>
      <c r="AK270">
        <v>9.5975000000000001</v>
      </c>
      <c r="AL270">
        <v>0.82240000000000002</v>
      </c>
      <c r="AM270">
        <v>186.63</v>
      </c>
      <c r="AN270">
        <v>107</v>
      </c>
      <c r="AO270">
        <v>103.8</v>
      </c>
      <c r="AP270">
        <v>109.04</v>
      </c>
      <c r="AQ270">
        <v>108.63</v>
      </c>
    </row>
    <row r="271" spans="1:43" x14ac:dyDescent="0.25">
      <c r="A271" s="1">
        <v>45838</v>
      </c>
      <c r="B271">
        <v>4.2911000000000001</v>
      </c>
      <c r="C271">
        <v>4.202</v>
      </c>
      <c r="D271">
        <v>1.7889999999999999</v>
      </c>
      <c r="E271">
        <v>0.432</v>
      </c>
      <c r="F271">
        <v>3.7191999999999998</v>
      </c>
      <c r="G271">
        <v>3.8132000000000001</v>
      </c>
      <c r="H271">
        <v>1.857</v>
      </c>
      <c r="I271">
        <v>0.745</v>
      </c>
      <c r="J271">
        <v>4.2279999999999998</v>
      </c>
      <c r="K271">
        <v>4.4880000000000004</v>
      </c>
      <c r="L271">
        <v>2.605</v>
      </c>
      <c r="M271">
        <v>1.4259999999999999</v>
      </c>
      <c r="N271">
        <v>16.73</v>
      </c>
      <c r="O271">
        <v>149.03200000000001</v>
      </c>
      <c r="P271">
        <v>96.875</v>
      </c>
      <c r="Q271">
        <v>132.2201</v>
      </c>
      <c r="R271">
        <v>5.4317000000000002</v>
      </c>
      <c r="S271">
        <v>65.11</v>
      </c>
      <c r="T271">
        <v>67.61</v>
      </c>
      <c r="U271">
        <v>561.72</v>
      </c>
      <c r="V271">
        <v>1098.52</v>
      </c>
      <c r="W271">
        <v>4026.44</v>
      </c>
      <c r="X271">
        <v>1222.78</v>
      </c>
      <c r="Y271">
        <v>138854.6</v>
      </c>
      <c r="Z271">
        <v>13.171900000000001</v>
      </c>
      <c r="AA271">
        <v>13.149900000000001</v>
      </c>
      <c r="AB271">
        <v>13.2746</v>
      </c>
      <c r="AC271">
        <v>13.0968</v>
      </c>
      <c r="AD271">
        <v>13.6037</v>
      </c>
      <c r="AE271">
        <v>14.6782</v>
      </c>
      <c r="AF271">
        <v>14.9</v>
      </c>
      <c r="AG271">
        <v>1.1787000000000001</v>
      </c>
      <c r="AH271">
        <v>144.03</v>
      </c>
      <c r="AI271">
        <v>1.3732</v>
      </c>
      <c r="AJ271">
        <v>1.3608</v>
      </c>
      <c r="AK271">
        <v>9.4585000000000008</v>
      </c>
      <c r="AL271">
        <v>0.79310000000000003</v>
      </c>
      <c r="AM271">
        <v>186.63</v>
      </c>
      <c r="AN271">
        <v>103.78</v>
      </c>
      <c r="AO271">
        <v>103.86</v>
      </c>
      <c r="AP271">
        <v>108.87</v>
      </c>
      <c r="AQ271">
        <v>107.42</v>
      </c>
    </row>
    <row r="272" spans="1:43" x14ac:dyDescent="0.25">
      <c r="A272" s="1">
        <v>45869</v>
      </c>
      <c r="B272">
        <v>4.3372000000000002</v>
      </c>
      <c r="C272">
        <v>4.1529999999999996</v>
      </c>
      <c r="D272">
        <v>1.8420000000000001</v>
      </c>
      <c r="E272">
        <v>0.436</v>
      </c>
      <c r="F272">
        <v>3.9571000000000001</v>
      </c>
      <c r="G272">
        <v>3.8573</v>
      </c>
      <c r="H272">
        <v>1.96</v>
      </c>
      <c r="I272">
        <v>0.81699999999999995</v>
      </c>
      <c r="J272">
        <v>4.3739999999999997</v>
      </c>
      <c r="K272">
        <v>4.5681000000000003</v>
      </c>
      <c r="L272">
        <v>2.6930000000000001</v>
      </c>
      <c r="M272">
        <v>1.55</v>
      </c>
      <c r="N272">
        <v>16.72</v>
      </c>
      <c r="O272">
        <v>149.71799999999999</v>
      </c>
      <c r="P272">
        <v>99.968000000000004</v>
      </c>
      <c r="Q272">
        <v>131.5744</v>
      </c>
      <c r="R272">
        <v>5.6002999999999998</v>
      </c>
      <c r="S272">
        <v>69.260000000000005</v>
      </c>
      <c r="T272">
        <v>72.53</v>
      </c>
      <c r="U272">
        <v>554.21</v>
      </c>
      <c r="V272">
        <v>1062.54</v>
      </c>
      <c r="W272">
        <v>4076.04</v>
      </c>
      <c r="X272">
        <v>1243.23</v>
      </c>
      <c r="Y272">
        <v>133071.04999999999</v>
      </c>
      <c r="Z272">
        <v>13.171900000000001</v>
      </c>
      <c r="AA272">
        <v>13.719900000000001</v>
      </c>
      <c r="AB272">
        <v>13.8497</v>
      </c>
      <c r="AC272">
        <v>13.5718</v>
      </c>
      <c r="AD272">
        <v>13.8934</v>
      </c>
      <c r="AE272">
        <v>14.7453</v>
      </c>
      <c r="AF272">
        <v>14.9</v>
      </c>
      <c r="AG272">
        <v>1.1415</v>
      </c>
      <c r="AH272">
        <v>150.75</v>
      </c>
      <c r="AI272">
        <v>1.3207</v>
      </c>
      <c r="AJ272">
        <v>1.3855999999999999</v>
      </c>
      <c r="AK272">
        <v>9.7914999999999992</v>
      </c>
      <c r="AL272">
        <v>0.81230000000000002</v>
      </c>
      <c r="AM272">
        <v>186.63</v>
      </c>
      <c r="AN272">
        <v>112.26</v>
      </c>
      <c r="AO272">
        <v>103.71</v>
      </c>
      <c r="AP272">
        <v>108.39</v>
      </c>
      <c r="AQ272">
        <v>113.27</v>
      </c>
    </row>
    <row r="273" spans="1:43" x14ac:dyDescent="0.25">
      <c r="A273" s="1">
        <v>45898</v>
      </c>
      <c r="B273">
        <v>4.1391</v>
      </c>
      <c r="C273">
        <v>4.0650000000000004</v>
      </c>
      <c r="D273">
        <v>1.8129999999999999</v>
      </c>
      <c r="E273">
        <v>0.45800000000000002</v>
      </c>
      <c r="F273">
        <v>3.6166999999999998</v>
      </c>
      <c r="G273">
        <v>3.9371</v>
      </c>
      <c r="H273">
        <v>1.9370000000000001</v>
      </c>
      <c r="I273">
        <v>0.86599999999999999</v>
      </c>
      <c r="J273">
        <v>4.2283999999999997</v>
      </c>
      <c r="K273">
        <v>4.7205000000000004</v>
      </c>
      <c r="L273">
        <v>2.7229999999999999</v>
      </c>
      <c r="M273">
        <v>1.595</v>
      </c>
      <c r="N273">
        <v>15.36</v>
      </c>
      <c r="O273">
        <v>136.85900000000001</v>
      </c>
      <c r="P273">
        <v>97.771000000000001</v>
      </c>
      <c r="Q273">
        <v>132.0667</v>
      </c>
      <c r="R273">
        <v>5.4297000000000004</v>
      </c>
      <c r="S273">
        <v>64.010000000000005</v>
      </c>
      <c r="T273">
        <v>68.12</v>
      </c>
      <c r="U273">
        <v>528.86</v>
      </c>
      <c r="V273">
        <v>1087.7</v>
      </c>
      <c r="W273">
        <v>4177.72</v>
      </c>
      <c r="X273">
        <v>1258.44</v>
      </c>
      <c r="Y273">
        <v>141422.26</v>
      </c>
      <c r="Z273">
        <v>13.171900000000001</v>
      </c>
      <c r="AA273">
        <v>13.456799999999999</v>
      </c>
      <c r="AB273">
        <v>13.684799999999999</v>
      </c>
      <c r="AC273">
        <v>13.1999</v>
      </c>
      <c r="AD273">
        <v>13.451700000000001</v>
      </c>
      <c r="AE273">
        <v>14.366099999999999</v>
      </c>
      <c r="AF273">
        <v>14.9</v>
      </c>
      <c r="AG273">
        <v>1.1686000000000001</v>
      </c>
      <c r="AH273">
        <v>147.05000000000001</v>
      </c>
      <c r="AI273">
        <v>1.3504</v>
      </c>
      <c r="AJ273">
        <v>1.3741000000000001</v>
      </c>
      <c r="AK273">
        <v>9.4572000000000003</v>
      </c>
      <c r="AL273">
        <v>0.80049999999999999</v>
      </c>
      <c r="AM273">
        <v>186.63</v>
      </c>
      <c r="AN273">
        <v>112.98</v>
      </c>
      <c r="AO273">
        <v>104.48</v>
      </c>
      <c r="AP273">
        <v>108.83</v>
      </c>
      <c r="AQ273">
        <v>110.5</v>
      </c>
    </row>
    <row r="274" spans="1:43" x14ac:dyDescent="0.25">
      <c r="A274" s="1">
        <v>45930</v>
      </c>
      <c r="B274">
        <v>3.9323000000000001</v>
      </c>
      <c r="C274">
        <v>4.1100000000000003</v>
      </c>
      <c r="D274">
        <v>1.742</v>
      </c>
      <c r="E274">
        <v>0.45100000000000001</v>
      </c>
      <c r="F274">
        <v>3.6082999999999998</v>
      </c>
      <c r="G274">
        <v>3.9805999999999999</v>
      </c>
      <c r="H274">
        <v>2.0179999999999998</v>
      </c>
      <c r="I274">
        <v>0.93799999999999994</v>
      </c>
      <c r="J274">
        <v>4.1502999999999997</v>
      </c>
      <c r="K274">
        <v>4.6982999999999997</v>
      </c>
      <c r="L274">
        <v>2.71</v>
      </c>
      <c r="M274">
        <v>1.6419999999999999</v>
      </c>
      <c r="N274">
        <v>16.28</v>
      </c>
      <c r="O274">
        <v>136.273</v>
      </c>
      <c r="P274">
        <v>97.775000000000006</v>
      </c>
      <c r="Q274">
        <v>131.42500000000001</v>
      </c>
      <c r="R274">
        <v>5.3217999999999996</v>
      </c>
      <c r="S274">
        <v>62.37</v>
      </c>
      <c r="T274">
        <v>67.02</v>
      </c>
      <c r="U274">
        <v>502.45</v>
      </c>
      <c r="V274">
        <v>1122.29</v>
      </c>
      <c r="W274">
        <v>4306.7</v>
      </c>
      <c r="X274">
        <v>1346.05</v>
      </c>
      <c r="Y274">
        <v>146237.01999999999</v>
      </c>
      <c r="Z274">
        <v>13.171900000000001</v>
      </c>
      <c r="AA274">
        <v>13.394</v>
      </c>
      <c r="AB274">
        <v>13.4831</v>
      </c>
      <c r="AC274">
        <v>13.234999999999999</v>
      </c>
      <c r="AD274">
        <v>13.478</v>
      </c>
      <c r="AE274">
        <v>14.324</v>
      </c>
      <c r="AF274">
        <v>14.9</v>
      </c>
      <c r="AG274">
        <v>1.1734</v>
      </c>
      <c r="AH274">
        <v>147.9</v>
      </c>
      <c r="AI274">
        <v>1.3446</v>
      </c>
      <c r="AJ274">
        <v>1.3919999999999999</v>
      </c>
      <c r="AK274">
        <v>9.4167000000000005</v>
      </c>
      <c r="AL274">
        <v>0.7964</v>
      </c>
      <c r="AM274">
        <v>186.63</v>
      </c>
      <c r="AN274">
        <v>111.93</v>
      </c>
      <c r="AO274">
        <v>104.08</v>
      </c>
      <c r="AP274">
        <v>108.69</v>
      </c>
      <c r="AQ274">
        <v>109.54</v>
      </c>
    </row>
    <row r="275" spans="1:43" x14ac:dyDescent="0.25">
      <c r="A275" s="1">
        <v>45961</v>
      </c>
      <c r="B275">
        <v>3.8007</v>
      </c>
      <c r="C275">
        <v>3.9940000000000002</v>
      </c>
      <c r="D275">
        <v>1.7430000000000001</v>
      </c>
      <c r="E275">
        <v>0.45100000000000001</v>
      </c>
      <c r="F275">
        <v>3.5735999999999999</v>
      </c>
      <c r="G275">
        <v>3.7646999999999999</v>
      </c>
      <c r="H275">
        <v>1.966</v>
      </c>
      <c r="I275">
        <v>0.91900000000000004</v>
      </c>
      <c r="J275">
        <v>4.0774999999999997</v>
      </c>
      <c r="K275">
        <v>4.4085000000000001</v>
      </c>
      <c r="L275">
        <v>2.6320000000000001</v>
      </c>
      <c r="M275">
        <v>1.663</v>
      </c>
      <c r="N275">
        <v>17.440000000000001</v>
      </c>
      <c r="O275">
        <v>139.21299999999999</v>
      </c>
      <c r="P275">
        <v>99.804000000000002</v>
      </c>
      <c r="Q275">
        <v>131.66679999999999</v>
      </c>
      <c r="R275">
        <v>5.3765999999999998</v>
      </c>
      <c r="S275">
        <v>60.98</v>
      </c>
      <c r="T275">
        <v>65.069999999999993</v>
      </c>
      <c r="U275">
        <v>492.79</v>
      </c>
      <c r="V275">
        <v>1153.43</v>
      </c>
      <c r="W275">
        <v>4390.42</v>
      </c>
      <c r="X275">
        <v>1401.55</v>
      </c>
      <c r="Y275">
        <v>149540.43</v>
      </c>
      <c r="Z275">
        <v>13.171900000000001</v>
      </c>
      <c r="AA275">
        <v>13.3352</v>
      </c>
      <c r="AB275">
        <v>13.51</v>
      </c>
      <c r="AC275">
        <v>13.0814</v>
      </c>
      <c r="AD275">
        <v>13.207100000000001</v>
      </c>
      <c r="AE275">
        <v>14.0497</v>
      </c>
      <c r="AF275">
        <v>14.9</v>
      </c>
      <c r="AG275">
        <v>1.1536999999999999</v>
      </c>
      <c r="AH275">
        <v>153.99</v>
      </c>
      <c r="AI275">
        <v>1.3151999999999999</v>
      </c>
      <c r="AJ275">
        <v>1.401</v>
      </c>
      <c r="AK275">
        <v>9.4906000000000006</v>
      </c>
      <c r="AL275">
        <v>0.80459999999999998</v>
      </c>
      <c r="AM275">
        <v>186.63</v>
      </c>
      <c r="AN275">
        <v>113.1</v>
      </c>
      <c r="AO275">
        <v>104.27</v>
      </c>
      <c r="AP275">
        <v>108.76</v>
      </c>
      <c r="AQ275">
        <v>110.17</v>
      </c>
    </row>
    <row r="276" spans="1:43" x14ac:dyDescent="0.25">
      <c r="A276" s="1">
        <v>45989</v>
      </c>
      <c r="B276">
        <v>3.7955999999999999</v>
      </c>
      <c r="C276">
        <v>3.9180000000000001</v>
      </c>
      <c r="D276">
        <v>1.861</v>
      </c>
      <c r="E276">
        <v>0.496</v>
      </c>
      <c r="F276">
        <v>3.4893000000000001</v>
      </c>
      <c r="G276">
        <v>3.7362000000000002</v>
      </c>
      <c r="H276">
        <v>2.0259999999999998</v>
      </c>
      <c r="I276">
        <v>0.97199999999999998</v>
      </c>
      <c r="J276">
        <v>4.0132000000000003</v>
      </c>
      <c r="K276">
        <v>4.4397000000000002</v>
      </c>
      <c r="L276">
        <v>2.6880000000000002</v>
      </c>
      <c r="M276">
        <v>1.806</v>
      </c>
      <c r="N276">
        <v>16.350000000000001</v>
      </c>
      <c r="O276">
        <v>141.75399999999999</v>
      </c>
      <c r="P276">
        <v>99.459000000000003</v>
      </c>
      <c r="Q276">
        <v>131.8663</v>
      </c>
      <c r="R276">
        <v>5.3350999999999997</v>
      </c>
      <c r="S276">
        <v>58.55</v>
      </c>
      <c r="T276">
        <v>63.2</v>
      </c>
      <c r="U276">
        <v>473.24</v>
      </c>
      <c r="V276">
        <v>1179.3</v>
      </c>
      <c r="W276">
        <v>4398.4399999999996</v>
      </c>
      <c r="X276">
        <v>1366.92</v>
      </c>
      <c r="Y276">
        <v>159072.13</v>
      </c>
      <c r="Z276">
        <v>13.171900000000001</v>
      </c>
      <c r="AA276">
        <v>12.973599999999999</v>
      </c>
      <c r="AB276">
        <v>13.151400000000001</v>
      </c>
      <c r="AC276">
        <v>12.7257</v>
      </c>
      <c r="AD276">
        <v>12.835699999999999</v>
      </c>
      <c r="AE276">
        <v>13.698700000000001</v>
      </c>
      <c r="AF276">
        <v>14.9</v>
      </c>
      <c r="AG276">
        <v>1.1597999999999999</v>
      </c>
      <c r="AH276">
        <v>156.18</v>
      </c>
      <c r="AI276">
        <v>1.3234999999999999</v>
      </c>
      <c r="AJ276">
        <v>1.3976999999999999</v>
      </c>
      <c r="AK276">
        <v>9.4474</v>
      </c>
      <c r="AL276">
        <v>0.80400000000000005</v>
      </c>
      <c r="AM276">
        <v>186.63</v>
      </c>
      <c r="AN276">
        <v>103.14</v>
      </c>
      <c r="AO276">
        <v>104.11</v>
      </c>
      <c r="AP276">
        <v>109.28</v>
      </c>
      <c r="AQ276">
        <v>106.6</v>
      </c>
    </row>
    <row r="277" spans="1:43" x14ac:dyDescent="0.25">
      <c r="A277" s="1">
        <v>46022</v>
      </c>
      <c r="B277">
        <v>3.6263999999999998</v>
      </c>
      <c r="C277">
        <v>3.8570000000000002</v>
      </c>
      <c r="D277">
        <v>1.9930000000000001</v>
      </c>
      <c r="E277">
        <v>0.58599999999999997</v>
      </c>
      <c r="F277">
        <v>3.4729999999999999</v>
      </c>
      <c r="G277">
        <v>3.7141999999999999</v>
      </c>
      <c r="H277">
        <v>2.12</v>
      </c>
      <c r="I277">
        <v>1.1679999999999999</v>
      </c>
      <c r="J277">
        <v>4.1669999999999998</v>
      </c>
      <c r="K277">
        <v>4.476</v>
      </c>
      <c r="L277">
        <v>2.8540000000000001</v>
      </c>
      <c r="M277">
        <v>2.0590000000000002</v>
      </c>
      <c r="N277">
        <v>14.95</v>
      </c>
      <c r="O277">
        <v>138.32599999999999</v>
      </c>
      <c r="P277">
        <v>98.322000000000003</v>
      </c>
      <c r="Q277">
        <v>130.93170000000001</v>
      </c>
      <c r="R277">
        <v>5.4748999999999999</v>
      </c>
      <c r="S277">
        <v>57.42</v>
      </c>
      <c r="T277">
        <v>60.85</v>
      </c>
      <c r="U277">
        <v>474.85</v>
      </c>
      <c r="V277">
        <v>1212.96</v>
      </c>
      <c r="W277">
        <v>4430.38</v>
      </c>
      <c r="X277">
        <v>1404.37</v>
      </c>
      <c r="Y277">
        <v>161125.37</v>
      </c>
      <c r="Z277">
        <v>13.171900000000001</v>
      </c>
      <c r="AA277">
        <v>13.4778</v>
      </c>
      <c r="AB277">
        <v>13.517799999999999</v>
      </c>
      <c r="AC277">
        <v>13.201000000000001</v>
      </c>
      <c r="AD277">
        <v>13.1755</v>
      </c>
      <c r="AE277">
        <v>13.806900000000001</v>
      </c>
      <c r="AF277">
        <v>14.9</v>
      </c>
      <c r="AG277">
        <v>1.1746000000000001</v>
      </c>
      <c r="AH277">
        <v>156.71</v>
      </c>
      <c r="AI277">
        <v>1.3474999999999999</v>
      </c>
      <c r="AJ277">
        <v>1.3724000000000001</v>
      </c>
      <c r="AK277">
        <v>9.2108000000000008</v>
      </c>
      <c r="AL277">
        <v>0.79259999999999997</v>
      </c>
      <c r="AM277">
        <v>186.63</v>
      </c>
      <c r="AN277">
        <v>93.9</v>
      </c>
      <c r="AO277">
        <v>102.1</v>
      </c>
      <c r="AP277">
        <v>109.29</v>
      </c>
      <c r="AQ277">
        <v>107.36</v>
      </c>
    </row>
    <row r="278" spans="1:43" x14ac:dyDescent="0.25">
      <c r="A278" s="1">
        <v>46052</v>
      </c>
      <c r="B278">
        <v>3.6537000000000002</v>
      </c>
      <c r="C278">
        <v>3.7730000000000001</v>
      </c>
      <c r="D278">
        <v>1.962</v>
      </c>
      <c r="E278">
        <v>0.73799999999999999</v>
      </c>
      <c r="F278">
        <v>3.5224000000000002</v>
      </c>
      <c r="G278">
        <v>3.7094999999999998</v>
      </c>
      <c r="H278">
        <v>2.085</v>
      </c>
      <c r="I278">
        <v>1.2250000000000001</v>
      </c>
      <c r="J278">
        <v>4.2355</v>
      </c>
      <c r="K278">
        <v>4.5208000000000004</v>
      </c>
      <c r="L278">
        <v>2.8420000000000001</v>
      </c>
      <c r="M278">
        <v>2.2440000000000002</v>
      </c>
      <c r="N278">
        <v>17.440000000000001</v>
      </c>
      <c r="O278">
        <v>130.09399999999999</v>
      </c>
      <c r="P278">
        <v>96.991</v>
      </c>
      <c r="Q278">
        <v>129.36189999999999</v>
      </c>
      <c r="R278">
        <v>5.2633999999999999</v>
      </c>
      <c r="S278">
        <v>65.209999999999994</v>
      </c>
      <c r="T278">
        <v>70.69</v>
      </c>
      <c r="U278">
        <v>466.79</v>
      </c>
      <c r="V278">
        <v>1324.45</v>
      </c>
      <c r="W278">
        <v>4527.59</v>
      </c>
      <c r="X278">
        <v>1528.09</v>
      </c>
      <c r="Y278">
        <v>181363.9</v>
      </c>
      <c r="Z278">
        <v>13.171900000000001</v>
      </c>
      <c r="AA278">
        <v>13.0596</v>
      </c>
      <c r="AB278">
        <v>13.312200000000001</v>
      </c>
      <c r="AC278">
        <v>12.718500000000001</v>
      </c>
      <c r="AD278">
        <v>12.6876</v>
      </c>
      <c r="AE278">
        <v>13.342700000000001</v>
      </c>
      <c r="AF278">
        <v>14.9</v>
      </c>
      <c r="AG278">
        <v>1.1851</v>
      </c>
      <c r="AH278">
        <v>154.78</v>
      </c>
      <c r="AI278">
        <v>1.3686</v>
      </c>
      <c r="AJ278">
        <v>1.3613</v>
      </c>
      <c r="AK278">
        <v>8.9207000000000001</v>
      </c>
      <c r="AL278">
        <v>0.77300000000000002</v>
      </c>
      <c r="AM278">
        <v>186.63</v>
      </c>
      <c r="AN278">
        <v>95.2</v>
      </c>
      <c r="AO278">
        <v>104.23</v>
      </c>
      <c r="AP278">
        <v>110.23</v>
      </c>
      <c r="AQ278">
        <v>103.97</v>
      </c>
    </row>
    <row r="279" spans="1:43" x14ac:dyDescent="0.25">
      <c r="A279" s="1">
        <v>46080</v>
      </c>
      <c r="B279">
        <v>3.6562000000000001</v>
      </c>
      <c r="C279">
        <v>3.6320000000000001</v>
      </c>
      <c r="D279">
        <v>1.9039999999999999</v>
      </c>
      <c r="E279">
        <v>0.76500000000000001</v>
      </c>
      <c r="F279">
        <v>3.3748999999999998</v>
      </c>
      <c r="G279">
        <v>3.5152000000000001</v>
      </c>
      <c r="H279">
        <v>1.9950000000000001</v>
      </c>
      <c r="I279">
        <v>1.224</v>
      </c>
      <c r="J279">
        <v>3.9375</v>
      </c>
      <c r="K279">
        <v>4.2317</v>
      </c>
      <c r="L279">
        <v>2.6429999999999998</v>
      </c>
      <c r="M279">
        <v>2.1110000000000002</v>
      </c>
      <c r="N279">
        <v>19.86</v>
      </c>
      <c r="O279">
        <v>132.89400000000001</v>
      </c>
      <c r="P279">
        <v>97.608000000000004</v>
      </c>
      <c r="Q279">
        <v>127.6815</v>
      </c>
      <c r="R279">
        <v>5.1252000000000004</v>
      </c>
      <c r="S279">
        <v>67.02</v>
      </c>
      <c r="T279">
        <v>72.48</v>
      </c>
      <c r="U279">
        <v>465.9</v>
      </c>
      <c r="V279">
        <v>1378.38</v>
      </c>
      <c r="W279">
        <v>4556.79</v>
      </c>
      <c r="X279">
        <v>1610.7</v>
      </c>
      <c r="Y279">
        <v>188786.98</v>
      </c>
      <c r="Z279">
        <v>13.171900000000001</v>
      </c>
      <c r="AA279">
        <v>13.0571</v>
      </c>
      <c r="AB279">
        <v>13.3344</v>
      </c>
      <c r="AC279">
        <v>12.691800000000001</v>
      </c>
      <c r="AD279">
        <v>12.6128</v>
      </c>
      <c r="AE279">
        <v>13.1004</v>
      </c>
      <c r="AF279">
        <v>14.9</v>
      </c>
      <c r="AG279">
        <v>1.1812</v>
      </c>
      <c r="AH279">
        <v>156.05000000000001</v>
      </c>
      <c r="AI279">
        <v>1.3482000000000001</v>
      </c>
      <c r="AJ279">
        <v>1.3640000000000001</v>
      </c>
      <c r="AK279">
        <v>9.0288000000000004</v>
      </c>
      <c r="AL279">
        <v>0.76929999999999998</v>
      </c>
      <c r="AM279">
        <v>186.63</v>
      </c>
      <c r="AN279">
        <v>92.81</v>
      </c>
      <c r="AO279">
        <v>105.19</v>
      </c>
      <c r="AP279">
        <v>110.89</v>
      </c>
      <c r="AQ279">
        <v>106.65</v>
      </c>
    </row>
    <row r="280" spans="1:43" x14ac:dyDescent="0.25">
      <c r="A280" s="1">
        <v>46112</v>
      </c>
      <c r="B280">
        <v>3.6718000000000002</v>
      </c>
      <c r="C280">
        <v>3.9449999999999998</v>
      </c>
      <c r="D280">
        <v>2.1339999999999999</v>
      </c>
      <c r="E280">
        <v>0.84299999999999997</v>
      </c>
      <c r="F280">
        <v>3.7930000000000001</v>
      </c>
      <c r="G280">
        <v>4.4021999999999997</v>
      </c>
      <c r="H280">
        <v>2.613</v>
      </c>
      <c r="I280">
        <v>1.3440000000000001</v>
      </c>
      <c r="J280">
        <v>4.3166000000000002</v>
      </c>
      <c r="K280">
        <v>4.9146999999999998</v>
      </c>
      <c r="L280">
        <v>3.0019999999999998</v>
      </c>
      <c r="M280">
        <v>2.3460000000000001</v>
      </c>
      <c r="N280">
        <v>25.25</v>
      </c>
      <c r="O280">
        <v>139.77099999999999</v>
      </c>
      <c r="P280">
        <v>99.960999999999999</v>
      </c>
      <c r="Q280">
        <v>129.83179999999999</v>
      </c>
      <c r="R280">
        <v>5.1805000000000003</v>
      </c>
      <c r="S280">
        <v>101.38</v>
      </c>
      <c r="T280">
        <v>118.35</v>
      </c>
      <c r="U280">
        <v>494.12</v>
      </c>
      <c r="V280">
        <v>1292.0999999999999</v>
      </c>
      <c r="W280">
        <v>4258.3100000000004</v>
      </c>
      <c r="X280">
        <v>1397.2</v>
      </c>
      <c r="Y280">
        <v>187461.84</v>
      </c>
      <c r="Z280">
        <v>13.171900000000001</v>
      </c>
      <c r="AA280">
        <v>13.8452</v>
      </c>
      <c r="AB280">
        <v>13.871600000000001</v>
      </c>
      <c r="AC280">
        <v>13.7354</v>
      </c>
      <c r="AD280">
        <v>13.738799999999999</v>
      </c>
      <c r="AE280">
        <v>13.9772</v>
      </c>
      <c r="AF280">
        <v>14.65</v>
      </c>
      <c r="AG280">
        <v>1.1553</v>
      </c>
      <c r="AH280">
        <v>158.72</v>
      </c>
      <c r="AI280">
        <v>1.3227</v>
      </c>
      <c r="AJ280">
        <v>1.3915999999999999</v>
      </c>
      <c r="AK280">
        <v>9.4688999999999997</v>
      </c>
      <c r="AL280">
        <v>0.79949999999999999</v>
      </c>
      <c r="AM280">
        <v>186.63</v>
      </c>
      <c r="AN280">
        <v>104.17</v>
      </c>
      <c r="AO280">
        <v>105.24</v>
      </c>
      <c r="AP280">
        <v>110.89</v>
      </c>
      <c r="AQ280">
        <v>106.65</v>
      </c>
    </row>
    <row r="281" spans="1:43" x14ac:dyDescent="0.25">
      <c r="A281" s="1">
        <v>46142</v>
      </c>
      <c r="B281">
        <v>3.6604000000000001</v>
      </c>
      <c r="C281">
        <v>3.923</v>
      </c>
      <c r="D281">
        <v>1.9410000000000001</v>
      </c>
      <c r="E281">
        <v>0.82</v>
      </c>
      <c r="F281">
        <v>3.8689</v>
      </c>
      <c r="G281">
        <v>4.4492000000000003</v>
      </c>
      <c r="H281">
        <v>2.64</v>
      </c>
      <c r="I281">
        <v>1.371</v>
      </c>
      <c r="J281">
        <v>4.3705999999999996</v>
      </c>
      <c r="K281">
        <v>5.0115999999999996</v>
      </c>
      <c r="L281">
        <v>3.0350000000000001</v>
      </c>
      <c r="M281">
        <v>2.5169999999999999</v>
      </c>
      <c r="N281">
        <v>16.89</v>
      </c>
      <c r="O281">
        <v>119.904</v>
      </c>
      <c r="P281">
        <v>98.055999999999997</v>
      </c>
      <c r="Q281">
        <v>128.63560000000001</v>
      </c>
      <c r="R281">
        <v>4.9554</v>
      </c>
      <c r="S281">
        <v>105.07</v>
      </c>
      <c r="T281">
        <v>114.01</v>
      </c>
      <c r="U281">
        <v>494.12</v>
      </c>
      <c r="V281">
        <v>1292.0999999999999</v>
      </c>
      <c r="W281">
        <v>4660.7</v>
      </c>
      <c r="X281">
        <v>1600.21</v>
      </c>
      <c r="Y281">
        <v>187317.64</v>
      </c>
      <c r="Z281">
        <v>13.171900000000001</v>
      </c>
      <c r="AA281">
        <v>13.673999999999999</v>
      </c>
      <c r="AB281">
        <v>13.6852</v>
      </c>
      <c r="AC281">
        <v>13.670500000000001</v>
      </c>
      <c r="AD281">
        <v>13.726100000000001</v>
      </c>
      <c r="AE281">
        <v>14.026199999999999</v>
      </c>
      <c r="AF281">
        <v>14.4</v>
      </c>
      <c r="AG281">
        <v>1.1731</v>
      </c>
      <c r="AH281">
        <v>156.59</v>
      </c>
      <c r="AI281">
        <v>1.3604000000000001</v>
      </c>
      <c r="AJ281">
        <v>1.3582000000000001</v>
      </c>
      <c r="AK281">
        <v>9.2407000000000004</v>
      </c>
      <c r="AL281">
        <v>0.78139999999999998</v>
      </c>
      <c r="AM281">
        <v>186.63</v>
      </c>
      <c r="AN281">
        <v>104.17</v>
      </c>
      <c r="AO281">
        <v>105.24</v>
      </c>
      <c r="AP281">
        <v>110.89</v>
      </c>
      <c r="AQ281">
        <v>106.65</v>
      </c>
    </row>
    <row r="282" spans="1:43" x14ac:dyDescent="0.25">
      <c r="A282" s="1"/>
    </row>
    <row r="283" spans="1:43" x14ac:dyDescent="0.25">
      <c r="A283" s="1"/>
    </row>
    <row r="284" spans="1:43" x14ac:dyDescent="0.25">
      <c r="A284" s="1"/>
    </row>
    <row r="285" spans="1:43" x14ac:dyDescent="0.25">
      <c r="A285" s="1"/>
    </row>
    <row r="286" spans="1:43" x14ac:dyDescent="0.25">
      <c r="A286" s="1"/>
    </row>
    <row r="287" spans="1:43" x14ac:dyDescent="0.25">
      <c r="A287" s="1"/>
    </row>
    <row r="288" spans="1:43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</sheetData>
  <conditionalFormatting sqref="A1:XFD1048576">
    <cfRule type="cellIs" dxfId="0" priority="1" operator="equal">
      <formula>"#N/A N/A"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33273-E763-4E7A-BBFD-6B2BA70245DE}">
  <dimension ref="A1:F44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" sqref="D2"/>
    </sheetView>
  </sheetViews>
  <sheetFormatPr defaultRowHeight="15" x14ac:dyDescent="0.25"/>
  <cols>
    <col min="1" max="2" width="20.28515625" customWidth="1"/>
    <col min="3" max="5" width="50" customWidth="1"/>
    <col min="6" max="6" width="12" customWidth="1"/>
    <col min="7" max="7" width="37.42578125" bestFit="1" customWidth="1"/>
  </cols>
  <sheetData>
    <row r="1" spans="1:6" x14ac:dyDescent="0.25">
      <c r="A1" s="5" t="s">
        <v>70</v>
      </c>
      <c r="B1" s="5" t="s">
        <v>69</v>
      </c>
      <c r="C1" s="5" t="s">
        <v>104</v>
      </c>
      <c r="D1" s="5" t="s">
        <v>105</v>
      </c>
      <c r="E1" s="5" t="s">
        <v>67</v>
      </c>
      <c r="F1" s="5" t="s">
        <v>68</v>
      </c>
    </row>
    <row r="2" spans="1:6" x14ac:dyDescent="0.25">
      <c r="A2" s="6">
        <v>0</v>
      </c>
      <c r="B2" s="6"/>
      <c r="C2" t="str" cm="1">
        <f t="array" ref="C2:C44">TRANSPOSE(_xlfn._TRO_TRAILING(Mensal_BBG!3:3))</f>
        <v>Date</v>
      </c>
      <c r="D2" t="str">
        <f>SUBSTITUTE(E2," ","_")</f>
        <v>Date</v>
      </c>
      <c r="E2" t="str" cm="1">
        <f t="array" ref="E2:E44">TRANSPOSE(_xlfn._TRO_TRAILING(Mensal_BBG!4:4))</f>
        <v>Date</v>
      </c>
      <c r="F2" t="s">
        <v>67</v>
      </c>
    </row>
    <row r="3" spans="1:6" x14ac:dyDescent="0.25">
      <c r="A3" s="6" cm="1">
        <f t="array" ref="A3">_xlfn.XLOOKUP(B3,_xlfn.UNIQUE($B$2:$B$39),_xlfn.SEQUENCE(ROWS(_xlfn.UNIQUE($B$2:$B$39)),1,1))</f>
        <v>2</v>
      </c>
      <c r="B3" s="6" t="s">
        <v>77</v>
      </c>
      <c r="C3" t="str">
        <v>Taxa de juros EUA 3 meses</v>
      </c>
      <c r="D3" t="str">
        <f t="shared" ref="D3:D44" si="0">SUBSTITUTE(E3," ","_")</f>
        <v>USGG3M_Index</v>
      </c>
      <c r="E3" t="str">
        <v>USGG3M Index</v>
      </c>
      <c r="F3" t="s">
        <v>67</v>
      </c>
    </row>
    <row r="4" spans="1:6" x14ac:dyDescent="0.25">
      <c r="A4" s="6" cm="1">
        <f t="array" ref="A4">_xlfn.XLOOKUP(B4,_xlfn.UNIQUE($B$2:$B$39),_xlfn.SEQUENCE(ROWS(_xlfn.UNIQUE($B$2:$B$39)),1,1))</f>
        <v>2</v>
      </c>
      <c r="B4" s="6" t="s">
        <v>77</v>
      </c>
      <c r="C4" t="str">
        <v>Taxa de juros Reino Unido 3 meses</v>
      </c>
      <c r="D4" t="str">
        <f t="shared" si="0"/>
        <v>GTGBP3MO_Corp</v>
      </c>
      <c r="E4" t="str">
        <v>GTGBP3MO Corp</v>
      </c>
      <c r="F4" t="s">
        <v>67</v>
      </c>
    </row>
    <row r="5" spans="1:6" x14ac:dyDescent="0.25">
      <c r="A5" s="6" cm="1">
        <f t="array" ref="A5">_xlfn.XLOOKUP(B5,_xlfn.UNIQUE($B$2:$B$39),_xlfn.SEQUENCE(ROWS(_xlfn.UNIQUE($B$2:$B$39)),1,1))</f>
        <v>2</v>
      </c>
      <c r="B5" s="6" t="s">
        <v>77</v>
      </c>
      <c r="C5" t="str">
        <v>Taxa de juros Alemanha 3 meses</v>
      </c>
      <c r="D5" t="str">
        <f t="shared" si="0"/>
        <v>GTDEM3M_Govt</v>
      </c>
      <c r="E5" t="str">
        <v>GTDEM3M Govt</v>
      </c>
      <c r="F5" t="s">
        <v>67</v>
      </c>
    </row>
    <row r="6" spans="1:6" x14ac:dyDescent="0.25">
      <c r="A6" s="6" cm="1">
        <f t="array" ref="A6">_xlfn.XLOOKUP(B6,_xlfn.UNIQUE($B$2:$B$39),_xlfn.SEQUENCE(ROWS(_xlfn.UNIQUE($B$2:$B$39)),1,1))</f>
        <v>2</v>
      </c>
      <c r="B6" s="6" t="s">
        <v>77</v>
      </c>
      <c r="C6" t="str">
        <v>Taxa de juros Japao 3 meses</v>
      </c>
      <c r="D6" t="str">
        <f t="shared" si="0"/>
        <v>GTJPY3MO_Corp</v>
      </c>
      <c r="E6" t="str">
        <v>GTJPY3MO Corp</v>
      </c>
      <c r="F6" t="s">
        <v>67</v>
      </c>
    </row>
    <row r="7" spans="1:6" x14ac:dyDescent="0.25">
      <c r="A7" s="6" cm="1">
        <f t="array" ref="A7">_xlfn.XLOOKUP(B7,_xlfn.UNIQUE($B$2:$B$39),_xlfn.SEQUENCE(ROWS(_xlfn.UNIQUE($B$2:$B$39)),1,1))</f>
        <v>2</v>
      </c>
      <c r="B7" s="6" t="s">
        <v>77</v>
      </c>
      <c r="C7" t="str">
        <v>Taxa de juros EUA 2 anos</v>
      </c>
      <c r="D7" t="str">
        <f t="shared" si="0"/>
        <v>USGG2YR_Index</v>
      </c>
      <c r="E7" t="str">
        <v>USGG2YR Index</v>
      </c>
      <c r="F7" t="s">
        <v>67</v>
      </c>
    </row>
    <row r="8" spans="1:6" x14ac:dyDescent="0.25">
      <c r="A8" s="6" cm="1">
        <f t="array" ref="A8">_xlfn.XLOOKUP(B8,_xlfn.UNIQUE($B$2:$B$39),_xlfn.SEQUENCE(ROWS(_xlfn.UNIQUE($B$2:$B$39)),1,1))</f>
        <v>2</v>
      </c>
      <c r="B8" s="6" t="s">
        <v>77</v>
      </c>
      <c r="C8" t="str">
        <v>Taxa de juros Reino Unido 2 anos</v>
      </c>
      <c r="D8" t="str">
        <f t="shared" si="0"/>
        <v>GTGBP2YR_Corp</v>
      </c>
      <c r="E8" t="str">
        <v>GTGBP2YR Corp</v>
      </c>
      <c r="F8" t="s">
        <v>67</v>
      </c>
    </row>
    <row r="9" spans="1:6" x14ac:dyDescent="0.25">
      <c r="A9" s="6" cm="1">
        <f t="array" ref="A9">_xlfn.XLOOKUP(B9,_xlfn.UNIQUE($B$2:$B$39),_xlfn.SEQUENCE(ROWS(_xlfn.UNIQUE($B$2:$B$39)),1,1))</f>
        <v>2</v>
      </c>
      <c r="B9" s="6" t="s">
        <v>77</v>
      </c>
      <c r="C9" t="str">
        <v>Taxa de juros Alemanha 2 anos</v>
      </c>
      <c r="D9" t="str">
        <f t="shared" si="0"/>
        <v>GTDEM2Y_Govt</v>
      </c>
      <c r="E9" t="str">
        <v>GTDEM2Y Govt</v>
      </c>
      <c r="F9" t="s">
        <v>67</v>
      </c>
    </row>
    <row r="10" spans="1:6" x14ac:dyDescent="0.25">
      <c r="A10" s="6" cm="1">
        <f t="array" ref="A10">_xlfn.XLOOKUP(B10,_xlfn.UNIQUE($B$2:$B$39),_xlfn.SEQUENCE(ROWS(_xlfn.UNIQUE($B$2:$B$39)),1,1))</f>
        <v>2</v>
      </c>
      <c r="B10" s="6" t="s">
        <v>77</v>
      </c>
      <c r="C10" t="str">
        <v>Taxa de juros Japao 2 anos</v>
      </c>
      <c r="D10" t="str">
        <f t="shared" si="0"/>
        <v>GTJPY2YR_Corp</v>
      </c>
      <c r="E10" t="str">
        <v>GTJPY2YR Corp</v>
      </c>
      <c r="F10" t="s">
        <v>67</v>
      </c>
    </row>
    <row r="11" spans="1:6" x14ac:dyDescent="0.25">
      <c r="A11" s="6" cm="1">
        <f t="array" ref="A11">_xlfn.XLOOKUP(B11,_xlfn.UNIQUE($B$2:$B$39),_xlfn.SEQUENCE(ROWS(_xlfn.UNIQUE($B$2:$B$39)),1,1))</f>
        <v>2</v>
      </c>
      <c r="B11" s="6" t="s">
        <v>77</v>
      </c>
      <c r="C11" t="str">
        <v>Taxa de juros EUA 10 anos</v>
      </c>
      <c r="D11" t="str">
        <f t="shared" si="0"/>
        <v>USGG10YR_Index</v>
      </c>
      <c r="E11" t="str">
        <v>USGG10YR Index</v>
      </c>
      <c r="F11" t="s">
        <v>67</v>
      </c>
    </row>
    <row r="12" spans="1:6" x14ac:dyDescent="0.25">
      <c r="A12" s="6" cm="1">
        <f t="array" ref="A12">_xlfn.XLOOKUP(B12,_xlfn.UNIQUE($B$2:$B$39),_xlfn.SEQUENCE(ROWS(_xlfn.UNIQUE($B$2:$B$39)),1,1))</f>
        <v>2</v>
      </c>
      <c r="B12" s="6" t="s">
        <v>77</v>
      </c>
      <c r="C12" t="str">
        <v>Taxa de juros Reino Unido 10 anos</v>
      </c>
      <c r="D12" t="str">
        <f t="shared" si="0"/>
        <v>GTGBP10YR_Corp</v>
      </c>
      <c r="E12" t="str">
        <v>GTGBP10YR Corp</v>
      </c>
      <c r="F12" t="s">
        <v>67</v>
      </c>
    </row>
    <row r="13" spans="1:6" x14ac:dyDescent="0.25">
      <c r="A13" s="6" cm="1">
        <f t="array" ref="A13">_xlfn.XLOOKUP(B13,_xlfn.UNIQUE($B$2:$B$40),_xlfn.SEQUENCE(ROWS(_xlfn.UNIQUE($B$2:$B$40)),1,1))</f>
        <v>2</v>
      </c>
      <c r="B13" s="6" t="s">
        <v>77</v>
      </c>
      <c r="C13" t="str">
        <v>Taxa de juros Alemanha 10 anos</v>
      </c>
      <c r="D13" t="str">
        <f t="shared" si="0"/>
        <v>GTDEM10YR_Corp</v>
      </c>
      <c r="E13" t="str">
        <v>GTDEM10YR Corp</v>
      </c>
      <c r="F13" t="s">
        <v>67</v>
      </c>
    </row>
    <row r="14" spans="1:6" x14ac:dyDescent="0.25">
      <c r="A14" s="6" cm="1">
        <f t="array" ref="A14">_xlfn.XLOOKUP(B14,_xlfn.UNIQUE($B$2:$B$40),_xlfn.SEQUENCE(ROWS(_xlfn.UNIQUE($B$2:$B$40)),1,1))</f>
        <v>2</v>
      </c>
      <c r="B14" s="6" t="s">
        <v>77</v>
      </c>
      <c r="C14" t="str">
        <v>Taxa de juros Japao 10 anos</v>
      </c>
      <c r="D14" t="str">
        <f t="shared" si="0"/>
        <v>GTJPY10YR_Corp</v>
      </c>
      <c r="E14" t="str">
        <v>GTJPY10YR Corp</v>
      </c>
      <c r="F14" t="s">
        <v>67</v>
      </c>
    </row>
    <row r="15" spans="1:6" x14ac:dyDescent="0.25">
      <c r="A15" s="6" cm="1">
        <f t="array" ref="A15">_xlfn.XLOOKUP(B15,_xlfn.UNIQUE($B$2:$B$40),_xlfn.SEQUENCE(ROWS(_xlfn.UNIQUE($B$2:$B$40)),1,1))</f>
        <v>3</v>
      </c>
      <c r="B15" s="6" t="s">
        <v>76</v>
      </c>
      <c r="C15" t="str">
        <v>VIX</v>
      </c>
      <c r="D15" t="str">
        <f t="shared" si="0"/>
        <v>VIX_Index</v>
      </c>
      <c r="E15" t="str">
        <v>VIX Index</v>
      </c>
      <c r="F15" t="s">
        <v>67</v>
      </c>
    </row>
    <row r="16" spans="1:6" x14ac:dyDescent="0.25">
      <c r="A16" s="6" cm="1">
        <f t="array" ref="A16">_xlfn.XLOOKUP(B16,_xlfn.UNIQUE($B$2:$B$40),_xlfn.SEQUENCE(ROWS(_xlfn.UNIQUE($B$2:$B$40)),1,1))</f>
        <v>3</v>
      </c>
      <c r="B16" s="6" t="s">
        <v>76</v>
      </c>
      <c r="C16" t="str">
        <v>CDS 5 anos</v>
      </c>
      <c r="D16" t="str">
        <f t="shared" si="0"/>
        <v>BRAZIL_CDS_USD_SR_5Y_D14_Corp</v>
      </c>
      <c r="E16" t="str">
        <v>BRAZIL CDS USD SR 5Y D14 Corp</v>
      </c>
      <c r="F16" t="s">
        <v>67</v>
      </c>
    </row>
    <row r="17" spans="1:6" x14ac:dyDescent="0.25">
      <c r="A17" s="6" cm="1">
        <f t="array" ref="A17">_xlfn.XLOOKUP(B17,_xlfn.UNIQUE($B$2:$B$40),_xlfn.SEQUENCE(ROWS(_xlfn.UNIQUE($B$2:$B$40)),1,1))</f>
        <v>4</v>
      </c>
      <c r="B17" s="6" t="s">
        <v>75</v>
      </c>
      <c r="C17" t="str">
        <v>US Dollar index (DXY) (desenvolvido)</v>
      </c>
      <c r="D17" t="str">
        <f t="shared" si="0"/>
        <v>DXY_Curncy</v>
      </c>
      <c r="E17" t="str">
        <v>DXY Curncy</v>
      </c>
      <c r="F17" t="s">
        <v>67</v>
      </c>
    </row>
    <row r="18" spans="1:6" x14ac:dyDescent="0.25">
      <c r="A18" s="6" cm="1">
        <f t="array" ref="A18">_xlfn.XLOOKUP(B18,_xlfn.UNIQUE($B$2:$B$40),_xlfn.SEQUENCE(ROWS(_xlfn.UNIQUE($B$2:$B$40)),1,1))</f>
        <v>4</v>
      </c>
      <c r="B18" s="6" t="s">
        <v>75</v>
      </c>
      <c r="C18" t="str">
        <v>US Dollar index (DXY) (Emergentes)</v>
      </c>
      <c r="D18" t="str">
        <f t="shared" si="0"/>
        <v>USTWEME_Index</v>
      </c>
      <c r="E18" t="str">
        <v>USTWEME Index</v>
      </c>
      <c r="F18" t="s">
        <v>67</v>
      </c>
    </row>
    <row r="19" spans="1:6" x14ac:dyDescent="0.25">
      <c r="A19" s="6" cm="1">
        <f t="array" ref="A19">_xlfn.XLOOKUP(B19,_xlfn.UNIQUE($B$2:$B$40),_xlfn.SEQUENCE(ROWS(_xlfn.UNIQUE($B$2:$B$40)),1,1))</f>
        <v>4</v>
      </c>
      <c r="B19" s="6" t="s">
        <v>75</v>
      </c>
      <c r="C19" t="str">
        <v>cambio BRL/USD</v>
      </c>
      <c r="D19" t="str">
        <f t="shared" si="0"/>
        <v>BRL_REGN_Curncy</v>
      </c>
      <c r="E19" t="str">
        <v>BRL REGN Curncy</v>
      </c>
      <c r="F19" t="s">
        <v>67</v>
      </c>
    </row>
    <row r="20" spans="1:6" x14ac:dyDescent="0.25">
      <c r="A20" s="6" cm="1">
        <f t="array" ref="A20">_xlfn.XLOOKUP(B20,_xlfn.UNIQUE($B$2:$B$40),_xlfn.SEQUENCE(ROWS(_xlfn.UNIQUE($B$2:$B$40)),1,1))</f>
        <v>5</v>
      </c>
      <c r="B20" s="6" t="s">
        <v>74</v>
      </c>
      <c r="C20" t="str">
        <v>WTI</v>
      </c>
      <c r="D20" t="str">
        <f t="shared" si="0"/>
        <v>CL1_COMB_Comdty</v>
      </c>
      <c r="E20" t="str">
        <v>CL1 COMB Comdty</v>
      </c>
      <c r="F20" t="s">
        <v>67</v>
      </c>
    </row>
    <row r="21" spans="1:6" x14ac:dyDescent="0.25">
      <c r="A21" s="6" cm="1">
        <f t="array" ref="A21">_xlfn.XLOOKUP(B21,_xlfn.UNIQUE($B$2:$B$40),_xlfn.SEQUENCE(ROWS(_xlfn.UNIQUE($B$2:$B$40)),1,1))</f>
        <v>5</v>
      </c>
      <c r="B21" s="6" t="s">
        <v>74</v>
      </c>
      <c r="C21" t="str">
        <v>Brent</v>
      </c>
      <c r="D21" t="str">
        <f t="shared" si="0"/>
        <v>CO1_Comdty</v>
      </c>
      <c r="E21" t="str">
        <v>CO1 Comdty</v>
      </c>
      <c r="F21" t="s">
        <v>67</v>
      </c>
    </row>
    <row r="22" spans="1:6" x14ac:dyDescent="0.25">
      <c r="A22" s="6" cm="1">
        <f t="array" ref="A22">_xlfn.XLOOKUP(B22,_xlfn.UNIQUE($B$2:$B$40),_xlfn.SEQUENCE(ROWS(_xlfn.UNIQUE($B$2:$B$40)),1,1))</f>
        <v>6</v>
      </c>
      <c r="B22" s="6" t="s">
        <v>73</v>
      </c>
      <c r="C22" t="str">
        <v>Iindice de commodities CRB (foodstuffs)</v>
      </c>
      <c r="D22" t="str">
        <f t="shared" si="0"/>
        <v>CRB_FOOD_Index</v>
      </c>
      <c r="E22" t="str">
        <v>CRB FOOD Index</v>
      </c>
      <c r="F22" t="s">
        <v>67</v>
      </c>
    </row>
    <row r="23" spans="1:6" x14ac:dyDescent="0.25">
      <c r="A23" s="6" cm="1">
        <f t="array" ref="A23">_xlfn.XLOOKUP(B23,_xlfn.UNIQUE($B$2:$B$40),_xlfn.SEQUENCE(ROWS(_xlfn.UNIQUE($B$2:$B$40)),1,1))</f>
        <v>6</v>
      </c>
      <c r="B23" s="6" t="s">
        <v>73</v>
      </c>
      <c r="C23" t="str">
        <v>Iindice de commodities CRB (metals)</v>
      </c>
      <c r="D23" t="str">
        <f t="shared" si="0"/>
        <v>CRB_METL_Index</v>
      </c>
      <c r="E23" t="str">
        <v>CRB METL Index</v>
      </c>
      <c r="F23" t="s">
        <v>67</v>
      </c>
    </row>
    <row r="24" spans="1:6" x14ac:dyDescent="0.25">
      <c r="A24" s="6" cm="1">
        <f t="array" ref="A24">_xlfn.XLOOKUP(B24,_xlfn.UNIQUE($B$2:$B$40),_xlfn.SEQUENCE(ROWS(_xlfn.UNIQUE($B$2:$B$40)),1,1))</f>
        <v>7</v>
      </c>
      <c r="B24" s="6" t="s">
        <v>72</v>
      </c>
      <c r="C24" t="str">
        <v>Indices de Acoes MSCI Desenvolvidos</v>
      </c>
      <c r="D24" t="str">
        <f t="shared" si="0"/>
        <v>MXWO_Index</v>
      </c>
      <c r="E24" t="str">
        <v>MXWO Index</v>
      </c>
      <c r="F24" t="s">
        <v>67</v>
      </c>
    </row>
    <row r="25" spans="1:6" x14ac:dyDescent="0.25">
      <c r="A25" s="6" cm="1">
        <f t="array" ref="A25">_xlfn.XLOOKUP(B25,_xlfn.UNIQUE($B$2:$B$40),_xlfn.SEQUENCE(ROWS(_xlfn.UNIQUE($B$2:$B$40)),1,1))</f>
        <v>7</v>
      </c>
      <c r="B25" s="6" t="s">
        <v>72</v>
      </c>
      <c r="C25" t="str">
        <v>Indices de Acoes MSCI Emergentes</v>
      </c>
      <c r="D25" t="str">
        <f t="shared" si="0"/>
        <v>MXEF_Index</v>
      </c>
      <c r="E25" t="str">
        <v>MXEF Index</v>
      </c>
      <c r="F25" t="s">
        <v>67</v>
      </c>
    </row>
    <row r="26" spans="1:6" x14ac:dyDescent="0.25">
      <c r="A26" s="6" cm="1">
        <f t="array" ref="A26">_xlfn.XLOOKUP(B26,_xlfn.UNIQUE($B$2:$B$40),_xlfn.SEQUENCE(ROWS(_xlfn.UNIQUE($B$2:$B$40)),1,1))</f>
        <v>7</v>
      </c>
      <c r="B26" s="6" t="s">
        <v>72</v>
      </c>
      <c r="C26" t="str">
        <v>Ibovespa</v>
      </c>
      <c r="D26" t="str">
        <f t="shared" si="0"/>
        <v>IBOV_Index</v>
      </c>
      <c r="E26" t="str">
        <v>IBOV Index</v>
      </c>
      <c r="F26" t="s">
        <v>67</v>
      </c>
    </row>
    <row r="27" spans="1:6" x14ac:dyDescent="0.25">
      <c r="A27" s="6" cm="1">
        <f t="array" ref="A27">_xlfn.XLOOKUP(B27,_xlfn.UNIQUE($B$2:$B$40),_xlfn.SEQUENCE(ROWS(_xlfn.UNIQUE($B$2:$B$40)),1,1))</f>
        <v>8</v>
      </c>
      <c r="B27" s="6" t="s">
        <v>71</v>
      </c>
      <c r="C27" t="str">
        <v>BRL SWAP PRE-DI (1512d)</v>
      </c>
      <c r="D27" t="str">
        <f t="shared" si="0"/>
        <v>BCSFTPDV_CMPN_Curncy</v>
      </c>
      <c r="E27" t="str">
        <v>BCSFTPDV CMPN Curncy</v>
      </c>
      <c r="F27" t="s">
        <v>67</v>
      </c>
    </row>
    <row r="28" spans="1:6" x14ac:dyDescent="0.25">
      <c r="A28" s="6" cm="1">
        <f t="array" ref="A28">_xlfn.XLOOKUP(B28,_xlfn.UNIQUE($B$2:$B$40),_xlfn.SEQUENCE(ROWS(_xlfn.UNIQUE($B$2:$B$40)),1,1))</f>
        <v>8</v>
      </c>
      <c r="B28" s="6" t="s">
        <v>71</v>
      </c>
      <c r="C28" t="str">
        <v>BRL SWAP PRE-DI (1260d)</v>
      </c>
      <c r="D28" t="str">
        <f t="shared" si="0"/>
        <v>BCSFSPDV_BLP_Curncy</v>
      </c>
      <c r="E28" t="str">
        <v>BCSFSPDV BLP Curncy</v>
      </c>
      <c r="F28" t="s">
        <v>67</v>
      </c>
    </row>
    <row r="29" spans="1:6" x14ac:dyDescent="0.25">
      <c r="A29" s="6" cm="1">
        <f t="array" ref="A29">_xlfn.XLOOKUP(B29,_xlfn.UNIQUE($B$2:$B$40),_xlfn.SEQUENCE(ROWS(_xlfn.UNIQUE($B$2:$B$40)),1,1))</f>
        <v>9</v>
      </c>
      <c r="B29" s="6" t="s">
        <v>78</v>
      </c>
      <c r="C29" t="str">
        <v>BRL SWAP PRE-DI (2520d)</v>
      </c>
      <c r="D29" t="str">
        <f t="shared" si="0"/>
        <v>BCSFXPDV_BLP_Curncy</v>
      </c>
      <c r="E29" t="str">
        <v>BCSFXPDV BLP Curncy</v>
      </c>
      <c r="F29" t="s">
        <v>67</v>
      </c>
    </row>
    <row r="30" spans="1:6" x14ac:dyDescent="0.25">
      <c r="A30" s="6" cm="1">
        <f t="array" ref="A30">_xlfn.XLOOKUP(B30,_xlfn.UNIQUE($B$2:$B$40),_xlfn.SEQUENCE(ROWS(_xlfn.UNIQUE($B$2:$B$40)),1,1))</f>
        <v>8</v>
      </c>
      <c r="B30" s="6" t="s">
        <v>71</v>
      </c>
      <c r="C30" t="str">
        <v>BRL SWAP PRE-DI (756d)</v>
      </c>
      <c r="D30" t="str">
        <f t="shared" si="0"/>
        <v>BCSFQPDV_BLP_Curncy</v>
      </c>
      <c r="E30" t="str">
        <v>BCSFQPDV BLP Curncy</v>
      </c>
      <c r="F30" t="s">
        <v>67</v>
      </c>
    </row>
    <row r="31" spans="1:6" x14ac:dyDescent="0.25">
      <c r="A31" s="6" cm="1">
        <f t="array" ref="A31">_xlfn.XLOOKUP(B31,_xlfn.UNIQUE($B$2:$B$40),_xlfn.SEQUENCE(ROWS(_xlfn.UNIQUE($B$2:$B$40)),1,1))</f>
        <v>8</v>
      </c>
      <c r="B31" s="6" t="s">
        <v>71</v>
      </c>
      <c r="C31" t="str">
        <v>BRL SWAP PRE-DI (504d)</v>
      </c>
      <c r="D31" t="str">
        <f t="shared" si="0"/>
        <v>BCSFPPDV_BLP_Curncy</v>
      </c>
      <c r="E31" t="str">
        <v>BCSFPPDV BLP Curncy</v>
      </c>
      <c r="F31" t="s">
        <v>67</v>
      </c>
    </row>
    <row r="32" spans="1:6" x14ac:dyDescent="0.25">
      <c r="A32" s="6" cm="1">
        <f t="array" ref="A32">_xlfn.XLOOKUP(B32,_xlfn.UNIQUE($B$2:$B$40),_xlfn.SEQUENCE(ROWS(_xlfn.UNIQUE($B$2:$B$40)),1,1))</f>
        <v>8</v>
      </c>
      <c r="B32" s="6" t="s">
        <v>71</v>
      </c>
      <c r="C32" t="str">
        <v>BRL SWAP PRE-DI (252d)</v>
      </c>
      <c r="D32" t="str">
        <f t="shared" si="0"/>
        <v>BCSFLPDV_BLP_Curncy</v>
      </c>
      <c r="E32" t="str">
        <v>BCSFLPDV BLP Curncy</v>
      </c>
      <c r="F32" t="s">
        <v>67</v>
      </c>
    </row>
    <row r="33" spans="1:6" x14ac:dyDescent="0.25">
      <c r="A33" s="6" cm="1">
        <f t="array" ref="A33">_xlfn.XLOOKUP(B33,_xlfn.UNIQUE($B$2:$B$40),_xlfn.SEQUENCE(ROWS(_xlfn.UNIQUE($B$2:$B$40)),1,1))</f>
        <v>1</v>
      </c>
      <c r="C33" t="str">
        <v>BRL Cetip DI Deposit Rate</v>
      </c>
      <c r="D33" t="str">
        <f t="shared" si="0"/>
        <v>BZDIOVRA_Index</v>
      </c>
      <c r="E33" t="str">
        <v>BZDIOVRA Index</v>
      </c>
      <c r="F33" t="s">
        <v>67</v>
      </c>
    </row>
    <row r="34" spans="1:6" x14ac:dyDescent="0.25">
      <c r="A34" s="6" cm="1">
        <f t="array" ref="A34">_xlfn.XLOOKUP(B34,_xlfn.UNIQUE($B$2:$B$40),_xlfn.SEQUENCE(ROWS(_xlfn.UNIQUE($B$2:$B$40)),1,1))</f>
        <v>4</v>
      </c>
      <c r="B34" s="6" t="s">
        <v>75</v>
      </c>
      <c r="C34" t="str">
        <v>EURUSD Taxa de câmbio spot - Preço de 1 EUR em USD</v>
      </c>
      <c r="D34" t="str">
        <f t="shared" si="0"/>
        <v>EUR_BGN_Curncy</v>
      </c>
      <c r="E34" t="str">
        <v>EUR BGN Curncy</v>
      </c>
      <c r="F34" t="s">
        <v>67</v>
      </c>
    </row>
    <row r="35" spans="1:6" x14ac:dyDescent="0.25">
      <c r="A35" s="6" cm="1">
        <f t="array" ref="A35">_xlfn.XLOOKUP(B35,_xlfn.UNIQUE($B$2:$B$40),_xlfn.SEQUENCE(ROWS(_xlfn.UNIQUE($B$2:$B$40)),1,1))</f>
        <v>4</v>
      </c>
      <c r="B35" s="6" t="s">
        <v>75</v>
      </c>
      <c r="C35" t="str">
        <v>USDJPY Taxa de câmbio spot - Preço de 1 USD em JPY</v>
      </c>
      <c r="D35" t="str">
        <f t="shared" si="0"/>
        <v>JPY_BGN_Curncy</v>
      </c>
      <c r="E35" t="str">
        <v>JPY BGN Curncy</v>
      </c>
      <c r="F35" t="s">
        <v>67</v>
      </c>
    </row>
    <row r="36" spans="1:6" x14ac:dyDescent="0.25">
      <c r="A36" s="6" cm="1">
        <f t="array" ref="A36">_xlfn.XLOOKUP(B36,_xlfn.UNIQUE($B$2:$B$40),_xlfn.SEQUENCE(ROWS(_xlfn.UNIQUE($B$2:$B$40)),1,1))</f>
        <v>4</v>
      </c>
      <c r="B36" s="6" t="s">
        <v>75</v>
      </c>
      <c r="C36" t="str">
        <v>GBPUSD Taxa de câmbio spot - Preço de 1 GBP em USD</v>
      </c>
      <c r="D36" t="str">
        <f t="shared" si="0"/>
        <v>GBP_BGN_Curncy</v>
      </c>
      <c r="E36" t="str">
        <v>GBP BGN Curncy</v>
      </c>
      <c r="F36" t="s">
        <v>67</v>
      </c>
    </row>
    <row r="37" spans="1:6" x14ac:dyDescent="0.25">
      <c r="A37" s="6" cm="1">
        <f t="array" ref="A37">_xlfn.XLOOKUP(B37,_xlfn.UNIQUE($B$2:$B$40),_xlfn.SEQUENCE(ROWS(_xlfn.UNIQUE($B$2:$B$40)),1,1))</f>
        <v>4</v>
      </c>
      <c r="B37" s="6" t="s">
        <v>75</v>
      </c>
      <c r="C37" t="str">
        <v>USDCAD Taxa de câmbio spot - Preço de 1 USD em CAD</v>
      </c>
      <c r="D37" t="str">
        <f t="shared" si="0"/>
        <v>CAD_BGN_Curncy</v>
      </c>
      <c r="E37" t="str">
        <v>CAD BGN Curncy</v>
      </c>
      <c r="F37" t="s">
        <v>67</v>
      </c>
    </row>
    <row r="38" spans="1:6" x14ac:dyDescent="0.25">
      <c r="A38" s="6" cm="1">
        <f t="array" ref="A38">_xlfn.XLOOKUP(B38,_xlfn.UNIQUE($B$2:$B$40),_xlfn.SEQUENCE(ROWS(_xlfn.UNIQUE($B$2:$B$40)),1,1))</f>
        <v>4</v>
      </c>
      <c r="B38" s="6" t="s">
        <v>75</v>
      </c>
      <c r="C38" t="str">
        <v>USDSEK Taxa de câmbio spot - Preço de 1 USD em SEK</v>
      </c>
      <c r="D38" t="str">
        <f t="shared" si="0"/>
        <v>SEK_BGN_Curncy</v>
      </c>
      <c r="E38" t="str">
        <v>SEK BGN Curncy</v>
      </c>
      <c r="F38" t="s">
        <v>67</v>
      </c>
    </row>
    <row r="39" spans="1:6" x14ac:dyDescent="0.25">
      <c r="A39" s="6" cm="1">
        <f t="array" ref="A39">_xlfn.XLOOKUP(B39,_xlfn.UNIQUE($B$2:$B$40),_xlfn.SEQUENCE(ROWS(_xlfn.UNIQUE($B$2:$B$40)),1,1))</f>
        <v>4</v>
      </c>
      <c r="B39" s="6" t="s">
        <v>75</v>
      </c>
      <c r="C39" t="str">
        <v>USDCHF Taxa de câmbio spot - Preço de 1 USD em CHF</v>
      </c>
      <c r="D39" t="str">
        <f t="shared" si="0"/>
        <v>CHF_BGN_Curncy</v>
      </c>
      <c r="E39" t="str">
        <v>CHF BGN Curncy</v>
      </c>
      <c r="F39" t="s">
        <v>67</v>
      </c>
    </row>
    <row r="40" spans="1:6" x14ac:dyDescent="0.25">
      <c r="A40" s="6" cm="1">
        <f t="array" ref="A40">_xlfn.XLOOKUP(B40,_xlfn.UNIQUE($B$2:$B$40),_xlfn.SEQUENCE(ROWS(_xlfn.UNIQUE($B$2:$B$40)),1,1))</f>
        <v>9</v>
      </c>
      <c r="B40" s="6" t="s">
        <v>78</v>
      </c>
      <c r="C40" t="str">
        <v>Producao Industrial Bens de Capital (NSA 2002=100)</v>
      </c>
      <c r="D40" t="str">
        <f t="shared" si="0"/>
        <v>BZIPCAPI_Index</v>
      </c>
      <c r="E40" t="str">
        <v>BZIPCAPI Index</v>
      </c>
      <c r="F40" t="s">
        <v>67</v>
      </c>
    </row>
    <row r="41" spans="1:6" x14ac:dyDescent="0.25">
      <c r="A41" s="6" cm="1">
        <f t="array" ref="A41">_xlfn.XLOOKUP(B41,_xlfn.UNIQUE($B$2:$B$40),_xlfn.SEQUENCE(ROWS(_xlfn.UNIQUE($B$2:$B$40)),1,1))</f>
        <v>9</v>
      </c>
      <c r="B41" s="6" t="s">
        <v>78</v>
      </c>
      <c r="C41" t="str">
        <v>Producao Industrial Bens de Capital (NSA 2012=100)</v>
      </c>
      <c r="D41" t="str">
        <f t="shared" si="0"/>
        <v>BZIPTLYO_Index</v>
      </c>
      <c r="E41" t="str">
        <v>BZIPTLYO Index</v>
      </c>
      <c r="F41" t="s">
        <v>67</v>
      </c>
    </row>
    <row r="42" spans="1:6" x14ac:dyDescent="0.25">
      <c r="A42" s="6" cm="1">
        <f t="array" ref="A42">_xlfn.XLOOKUP(B42,_xlfn.UNIQUE($B$2:$B$40),_xlfn.SEQUENCE(ROWS(_xlfn.UNIQUE($B$2:$B$40)),1,1))</f>
        <v>9</v>
      </c>
      <c r="B42" s="6" t="s">
        <v>78</v>
      </c>
      <c r="C42" t="str">
        <v>Producao Industrial Bens de Capital (SA 2012=100)</v>
      </c>
      <c r="D42" t="str">
        <f t="shared" si="0"/>
        <v>BZIPTLSA_Index</v>
      </c>
      <c r="E42" t="str">
        <v>BZIPTLSA Index</v>
      </c>
      <c r="F42" t="s">
        <v>67</v>
      </c>
    </row>
    <row r="43" spans="1:6" x14ac:dyDescent="0.25">
      <c r="A43" s="6" cm="1">
        <f t="array" ref="A43">_xlfn.XLOOKUP(B43,_xlfn.UNIQUE($B$2:$B$40),_xlfn.SEQUENCE(ROWS(_xlfn.UNIQUE($B$2:$B$40)),1,1))</f>
        <v>9</v>
      </c>
      <c r="B43" s="6" t="s">
        <v>78</v>
      </c>
      <c r="C43" t="str">
        <v>IBCBR (SA)</v>
      </c>
      <c r="D43" t="str">
        <f t="shared" si="0"/>
        <v>BZEASA_Index</v>
      </c>
      <c r="E43" t="str">
        <v>BZEASA Index</v>
      </c>
      <c r="F43" t="s">
        <v>67</v>
      </c>
    </row>
    <row r="44" spans="1:6" x14ac:dyDescent="0.25">
      <c r="A44" s="6" cm="1">
        <f t="array" ref="A44">_xlfn.XLOOKUP(B44,_xlfn.UNIQUE($B$2:$B$40),_xlfn.SEQUENCE(ROWS(_xlfn.UNIQUE($B$2:$B$40)),1,1))</f>
        <v>9</v>
      </c>
      <c r="B44" s="7" t="s">
        <v>78</v>
      </c>
      <c r="C44" t="str">
        <v>IBCBR (NSA)</v>
      </c>
      <c r="D44" t="str">
        <f t="shared" si="0"/>
        <v>BZEANSA_Index</v>
      </c>
      <c r="E44" t="str">
        <v>BZEANSA Index</v>
      </c>
      <c r="F44" t="s">
        <v>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2718D5C22B814DA66EA3FE5FFD14DC" ma:contentTypeVersion="3" ma:contentTypeDescription="Crie um novo documento." ma:contentTypeScope="" ma:versionID="42eefc737b0e42670da428cda153182e">
  <xsd:schema xmlns:xsd="http://www.w3.org/2001/XMLSchema" xmlns:xs="http://www.w3.org/2001/XMLSchema" xmlns:p="http://schemas.microsoft.com/office/2006/metadata/properties" xmlns:ns2="d2abc76b-9c9e-4b97-8516-bc963645d007" targetNamespace="http://schemas.microsoft.com/office/2006/metadata/properties" ma:root="true" ma:fieldsID="1c755e1fad921ce3a691431323a05cdd" ns2:_="">
    <xsd:import namespace="d2abc76b-9c9e-4b97-8516-bc963645d0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c76b-9c9e-4b97-8516-bc963645d0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DA24F5-C90A-4520-9489-6901A71098F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4744333-1CB0-45CD-8765-6E636C066E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0E967C-AB20-488E-816D-BE1C4EE62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c76b-9c9e-4b97-8516-bc963645d0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Mensal_BBG</vt:lpstr>
      <vt:lpstr>Dados</vt:lpstr>
    </vt:vector>
  </TitlesOfParts>
  <Manager/>
  <Company>FGV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</dc:creator>
  <cp:keywords/>
  <dc:description/>
  <cp:lastModifiedBy>Bruno Tebaldi</cp:lastModifiedBy>
  <cp:revision/>
  <dcterms:created xsi:type="dcterms:W3CDTF">2025-06-12T20:54:30Z</dcterms:created>
  <dcterms:modified xsi:type="dcterms:W3CDTF">2026-08-08T15:30:21Z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ContentTypeId">
    <vt:lpwstr>0x010100252718D5C22B814DA66EA3FE5FFD14DC</vt:lpwstr>
  </property>
</Properties>
</file>